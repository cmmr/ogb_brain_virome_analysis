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danweisenberger/Desktop/"/>
    </mc:Choice>
  </mc:AlternateContent>
  <xr:revisionPtr revIDLastSave="0" documentId="13_ncr:1_{B6C00DB1-EE38-0441-B9C5-40B0C577739E}" xr6:coauthVersionLast="47" xr6:coauthVersionMax="47" xr10:uidLastSave="{00000000-0000-0000-0000-000000000000}"/>
  <bookViews>
    <workbookView xWindow="1400" yWindow="660" windowWidth="28840" windowHeight="18980" xr2:uid="{00000000-000D-0000-FFFF-FFFF00000000}"/>
  </bookViews>
  <sheets>
    <sheet name="120 Frozen Tissue" sheetId="1" r:id="rId1"/>
    <sheet name="16 FFPE" sheetId="2" r:id="rId2"/>
  </sheets>
  <definedNames>
    <definedName name="_xlnm.Print_Area" localSheetId="0">'120 Frozen Tissue'!$B$82:$C$121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1" l="1"/>
  <c r="O2" i="1"/>
  <c r="O49" i="1"/>
  <c r="O47" i="1"/>
  <c r="O4" i="1"/>
  <c r="O5" i="1"/>
  <c r="O10" i="1"/>
  <c r="O52" i="1"/>
  <c r="O6" i="1"/>
  <c r="O29" i="1"/>
  <c r="O8" i="1"/>
  <c r="O9" i="1"/>
  <c r="O7" i="1"/>
  <c r="O21" i="1"/>
  <c r="O12" i="1"/>
  <c r="O13" i="1"/>
  <c r="O11" i="1"/>
  <c r="O14" i="1"/>
  <c r="O36" i="1"/>
  <c r="O39" i="1"/>
  <c r="O15" i="1"/>
  <c r="O41" i="1"/>
  <c r="O19" i="1"/>
  <c r="O17" i="1"/>
  <c r="O16" i="1"/>
  <c r="O40" i="1"/>
  <c r="O22" i="1"/>
  <c r="O20" i="1"/>
  <c r="O18" i="1"/>
  <c r="O23" i="1"/>
  <c r="O24" i="1"/>
  <c r="O25" i="1"/>
  <c r="O61" i="1"/>
  <c r="O60" i="1"/>
  <c r="O27" i="1"/>
  <c r="O53" i="1"/>
  <c r="O55" i="1"/>
  <c r="O28" i="1"/>
  <c r="O31" i="1"/>
  <c r="O32" i="1"/>
  <c r="O30" i="1"/>
  <c r="O34" i="1"/>
  <c r="O35" i="1"/>
  <c r="O33" i="1"/>
  <c r="O37" i="1"/>
  <c r="O54" i="1"/>
  <c r="O38" i="1"/>
  <c r="O69" i="1"/>
  <c r="O43" i="1"/>
  <c r="O42" i="1"/>
  <c r="O45" i="1"/>
  <c r="O44" i="1"/>
  <c r="O67" i="1"/>
  <c r="O66" i="1"/>
  <c r="O65" i="1"/>
  <c r="O46" i="1"/>
  <c r="O50" i="1"/>
  <c r="O51" i="1"/>
  <c r="O48" i="1"/>
  <c r="O96" i="1"/>
  <c r="O71" i="1"/>
  <c r="O56" i="1"/>
  <c r="O59" i="1"/>
  <c r="O57" i="1"/>
  <c r="O58" i="1"/>
  <c r="O62" i="1"/>
  <c r="O64" i="1"/>
  <c r="O63" i="1"/>
  <c r="O118" i="1"/>
  <c r="O88" i="1"/>
  <c r="O68" i="1"/>
  <c r="O82" i="1"/>
  <c r="O70" i="1"/>
  <c r="O81" i="1"/>
  <c r="O73" i="1"/>
  <c r="O72" i="1"/>
  <c r="O74" i="1"/>
  <c r="O97" i="1"/>
  <c r="O80" i="1"/>
  <c r="O75" i="1"/>
  <c r="O79" i="1"/>
  <c r="O77" i="1"/>
  <c r="O76" i="1"/>
  <c r="O83" i="1"/>
  <c r="O78" i="1"/>
  <c r="O94" i="1"/>
  <c r="O84" i="1"/>
  <c r="O101" i="1"/>
  <c r="O108" i="1"/>
  <c r="O85" i="1"/>
  <c r="O87" i="1"/>
  <c r="O91" i="1"/>
  <c r="O89" i="1"/>
  <c r="O90" i="1"/>
  <c r="O86" i="1"/>
  <c r="O95" i="1"/>
  <c r="O93" i="1"/>
  <c r="O92" i="1"/>
  <c r="O99" i="1"/>
  <c r="O98" i="1"/>
  <c r="O100" i="1"/>
  <c r="O105" i="1"/>
  <c r="O106" i="1"/>
  <c r="O102" i="1"/>
  <c r="O103" i="1"/>
  <c r="O107" i="1"/>
  <c r="O104" i="1"/>
  <c r="O110" i="1"/>
  <c r="O111" i="1"/>
  <c r="O109" i="1"/>
  <c r="O113" i="1"/>
  <c r="O112" i="1"/>
  <c r="O114" i="1"/>
  <c r="O116" i="1"/>
  <c r="O115" i="1"/>
  <c r="O117" i="1"/>
  <c r="O120" i="1"/>
  <c r="O121" i="1"/>
  <c r="O119" i="1"/>
  <c r="O3" i="1"/>
  <c r="M26" i="1"/>
  <c r="N26" i="1"/>
  <c r="M2" i="1"/>
  <c r="N2" i="1"/>
  <c r="M49" i="1"/>
  <c r="N49" i="1"/>
  <c r="M47" i="1"/>
  <c r="N47" i="1"/>
  <c r="M4" i="1"/>
  <c r="N4" i="1"/>
  <c r="M5" i="1"/>
  <c r="N5" i="1"/>
  <c r="M10" i="1"/>
  <c r="N10" i="1"/>
  <c r="M52" i="1"/>
  <c r="N52" i="1"/>
  <c r="M6" i="1"/>
  <c r="N6" i="1"/>
  <c r="M29" i="1"/>
  <c r="N29" i="1"/>
  <c r="M8" i="1"/>
  <c r="N8" i="1"/>
  <c r="M9" i="1"/>
  <c r="N9" i="1"/>
  <c r="M7" i="1"/>
  <c r="N7" i="1"/>
  <c r="M21" i="1"/>
  <c r="N21" i="1"/>
  <c r="M12" i="1"/>
  <c r="N12" i="1"/>
  <c r="M13" i="1"/>
  <c r="N13" i="1"/>
  <c r="M11" i="1"/>
  <c r="N11" i="1"/>
  <c r="M14" i="1"/>
  <c r="N14" i="1"/>
  <c r="M36" i="1"/>
  <c r="N36" i="1"/>
  <c r="M39" i="1"/>
  <c r="N39" i="1"/>
  <c r="M15" i="1"/>
  <c r="N15" i="1"/>
  <c r="M41" i="1"/>
  <c r="N41" i="1"/>
  <c r="M19" i="1"/>
  <c r="N19" i="1"/>
  <c r="M17" i="1"/>
  <c r="N17" i="1"/>
  <c r="M16" i="1"/>
  <c r="N16" i="1"/>
  <c r="M40" i="1"/>
  <c r="N40" i="1"/>
  <c r="M22" i="1"/>
  <c r="N22" i="1"/>
  <c r="M20" i="1"/>
  <c r="N20" i="1"/>
  <c r="M18" i="1"/>
  <c r="N18" i="1"/>
  <c r="M23" i="1"/>
  <c r="N23" i="1"/>
  <c r="M24" i="1"/>
  <c r="N24" i="1"/>
  <c r="M25" i="1"/>
  <c r="N25" i="1"/>
  <c r="M61" i="1"/>
  <c r="N61" i="1"/>
  <c r="M60" i="1"/>
  <c r="N60" i="1"/>
  <c r="M27" i="1"/>
  <c r="N27" i="1"/>
  <c r="M53" i="1"/>
  <c r="N53" i="1"/>
  <c r="M55" i="1"/>
  <c r="N55" i="1"/>
  <c r="M28" i="1"/>
  <c r="N28" i="1"/>
  <c r="M31" i="1"/>
  <c r="N31" i="1"/>
  <c r="M32" i="1"/>
  <c r="N32" i="1"/>
  <c r="M30" i="1"/>
  <c r="N30" i="1"/>
  <c r="M34" i="1"/>
  <c r="N34" i="1"/>
  <c r="M35" i="1"/>
  <c r="N35" i="1"/>
  <c r="M33" i="1"/>
  <c r="N33" i="1"/>
  <c r="M37" i="1"/>
  <c r="N37" i="1"/>
  <c r="M54" i="1"/>
  <c r="N54" i="1"/>
  <c r="M38" i="1"/>
  <c r="N38" i="1"/>
  <c r="M69" i="1"/>
  <c r="N69" i="1"/>
  <c r="M43" i="1"/>
  <c r="N43" i="1"/>
  <c r="M42" i="1"/>
  <c r="N42" i="1"/>
  <c r="M45" i="1"/>
  <c r="N45" i="1"/>
  <c r="M44" i="1"/>
  <c r="N44" i="1"/>
  <c r="M67" i="1"/>
  <c r="N67" i="1"/>
  <c r="M66" i="1"/>
  <c r="N66" i="1"/>
  <c r="M65" i="1"/>
  <c r="N65" i="1"/>
  <c r="M46" i="1"/>
  <c r="N46" i="1"/>
  <c r="M50" i="1"/>
  <c r="N50" i="1"/>
  <c r="M51" i="1"/>
  <c r="N51" i="1"/>
  <c r="M48" i="1"/>
  <c r="N48" i="1"/>
  <c r="M96" i="1"/>
  <c r="N96" i="1"/>
  <c r="M71" i="1"/>
  <c r="N71" i="1"/>
  <c r="M56" i="1"/>
  <c r="N56" i="1"/>
  <c r="M59" i="1"/>
  <c r="N59" i="1"/>
  <c r="M57" i="1"/>
  <c r="N57" i="1"/>
  <c r="M58" i="1"/>
  <c r="N58" i="1"/>
  <c r="M62" i="1"/>
  <c r="N62" i="1"/>
  <c r="M64" i="1"/>
  <c r="N64" i="1"/>
  <c r="M63" i="1"/>
  <c r="N63" i="1"/>
  <c r="M118" i="1"/>
  <c r="N118" i="1"/>
  <c r="M88" i="1"/>
  <c r="N88" i="1"/>
  <c r="M68" i="1"/>
  <c r="N68" i="1"/>
  <c r="M82" i="1"/>
  <c r="N82" i="1"/>
  <c r="M70" i="1"/>
  <c r="N70" i="1"/>
  <c r="M81" i="1"/>
  <c r="N81" i="1"/>
  <c r="M73" i="1"/>
  <c r="N73" i="1"/>
  <c r="M72" i="1"/>
  <c r="N72" i="1"/>
  <c r="M74" i="1"/>
  <c r="N74" i="1"/>
  <c r="M97" i="1"/>
  <c r="N97" i="1"/>
  <c r="M80" i="1"/>
  <c r="N80" i="1"/>
  <c r="M75" i="1"/>
  <c r="N75" i="1"/>
  <c r="M79" i="1"/>
  <c r="N79" i="1"/>
  <c r="M77" i="1"/>
  <c r="N77" i="1"/>
  <c r="M76" i="1"/>
  <c r="N76" i="1"/>
  <c r="M83" i="1"/>
  <c r="N83" i="1"/>
  <c r="M78" i="1"/>
  <c r="N78" i="1"/>
  <c r="M94" i="1"/>
  <c r="N94" i="1"/>
  <c r="M84" i="1"/>
  <c r="N84" i="1"/>
  <c r="M101" i="1"/>
  <c r="N101" i="1"/>
  <c r="M108" i="1"/>
  <c r="N108" i="1"/>
  <c r="M85" i="1"/>
  <c r="N85" i="1"/>
  <c r="M87" i="1"/>
  <c r="N87" i="1"/>
  <c r="M91" i="1"/>
  <c r="N91" i="1"/>
  <c r="M89" i="1"/>
  <c r="N89" i="1"/>
  <c r="M90" i="1"/>
  <c r="N90" i="1"/>
  <c r="M86" i="1"/>
  <c r="N86" i="1"/>
  <c r="M95" i="1"/>
  <c r="N95" i="1"/>
  <c r="M93" i="1"/>
  <c r="N93" i="1"/>
  <c r="M92" i="1"/>
  <c r="N92" i="1"/>
  <c r="M99" i="1"/>
  <c r="N99" i="1"/>
  <c r="M98" i="1"/>
  <c r="N98" i="1"/>
  <c r="M100" i="1"/>
  <c r="N100" i="1"/>
  <c r="M105" i="1"/>
  <c r="N105" i="1"/>
  <c r="M106" i="1"/>
  <c r="N106" i="1"/>
  <c r="M102" i="1"/>
  <c r="N102" i="1"/>
  <c r="M103" i="1"/>
  <c r="N103" i="1"/>
  <c r="M107" i="1"/>
  <c r="N107" i="1"/>
  <c r="M104" i="1"/>
  <c r="N104" i="1"/>
  <c r="M110" i="1"/>
  <c r="N110" i="1"/>
  <c r="M111" i="1"/>
  <c r="N111" i="1"/>
  <c r="M109" i="1"/>
  <c r="N109" i="1"/>
  <c r="M113" i="1"/>
  <c r="N113" i="1"/>
  <c r="M112" i="1"/>
  <c r="N112" i="1"/>
  <c r="M114" i="1"/>
  <c r="N114" i="1"/>
  <c r="M116" i="1"/>
  <c r="N116" i="1"/>
  <c r="M115" i="1"/>
  <c r="N115" i="1"/>
  <c r="M117" i="1"/>
  <c r="N117" i="1"/>
  <c r="M120" i="1"/>
  <c r="N120" i="1"/>
  <c r="M121" i="1"/>
  <c r="N121" i="1"/>
  <c r="M119" i="1"/>
  <c r="N119" i="1"/>
  <c r="N3" i="1"/>
  <c r="M3" i="1"/>
  <c r="I26" i="1"/>
  <c r="I2" i="1"/>
  <c r="I49" i="1"/>
  <c r="I47" i="1"/>
  <c r="I4" i="1"/>
  <c r="I5" i="1"/>
  <c r="I10" i="1"/>
  <c r="I52" i="1"/>
  <c r="I6" i="1"/>
  <c r="I29" i="1"/>
  <c r="I8" i="1"/>
  <c r="I9" i="1"/>
  <c r="I7" i="1"/>
  <c r="I21" i="1"/>
  <c r="I12" i="1"/>
  <c r="I13" i="1"/>
  <c r="I11" i="1"/>
  <c r="I14" i="1"/>
  <c r="I36" i="1"/>
  <c r="I39" i="1"/>
  <c r="I15" i="1"/>
  <c r="I41" i="1"/>
  <c r="I19" i="1"/>
  <c r="I17" i="1"/>
  <c r="I16" i="1"/>
  <c r="I40" i="1"/>
  <c r="I22" i="1"/>
  <c r="I20" i="1"/>
  <c r="I18" i="1"/>
  <c r="I23" i="1"/>
  <c r="I24" i="1"/>
  <c r="I25" i="1"/>
  <c r="I61" i="1"/>
  <c r="I60" i="1"/>
  <c r="I27" i="1"/>
  <c r="I53" i="1"/>
  <c r="I55" i="1"/>
  <c r="I28" i="1"/>
  <c r="I31" i="1"/>
  <c r="I32" i="1"/>
  <c r="I30" i="1"/>
  <c r="I34" i="1"/>
  <c r="I35" i="1"/>
  <c r="I33" i="1"/>
  <c r="I37" i="1"/>
  <c r="I54" i="1"/>
  <c r="I38" i="1"/>
  <c r="I69" i="1"/>
  <c r="I43" i="1"/>
  <c r="I42" i="1"/>
  <c r="I45" i="1"/>
  <c r="I44" i="1"/>
  <c r="I67" i="1"/>
  <c r="I66" i="1"/>
  <c r="I65" i="1"/>
  <c r="I46" i="1"/>
  <c r="I50" i="1"/>
  <c r="I51" i="1"/>
  <c r="I48" i="1"/>
  <c r="I96" i="1"/>
  <c r="I71" i="1"/>
  <c r="I56" i="1"/>
  <c r="I59" i="1"/>
  <c r="I57" i="1"/>
  <c r="I58" i="1"/>
  <c r="I62" i="1"/>
  <c r="I64" i="1"/>
  <c r="I63" i="1"/>
  <c r="I118" i="1"/>
  <c r="I88" i="1"/>
  <c r="I68" i="1"/>
  <c r="I82" i="1"/>
  <c r="I70" i="1"/>
  <c r="I81" i="1"/>
  <c r="I73" i="1"/>
  <c r="I72" i="1"/>
  <c r="I74" i="1"/>
  <c r="I97" i="1"/>
  <c r="I80" i="1"/>
  <c r="I75" i="1"/>
  <c r="I79" i="1"/>
  <c r="I77" i="1"/>
  <c r="I76" i="1"/>
  <c r="I83" i="1"/>
  <c r="I78" i="1"/>
  <c r="I94" i="1"/>
  <c r="I84" i="1"/>
  <c r="I101" i="1"/>
  <c r="I108" i="1"/>
  <c r="I85" i="1"/>
  <c r="I87" i="1"/>
  <c r="I91" i="1"/>
  <c r="I89" i="1"/>
  <c r="I90" i="1"/>
  <c r="I86" i="1"/>
  <c r="I95" i="1"/>
  <c r="I93" i="1"/>
  <c r="I92" i="1"/>
  <c r="I99" i="1"/>
  <c r="I98" i="1"/>
  <c r="I100" i="1"/>
  <c r="I105" i="1"/>
  <c r="I106" i="1"/>
  <c r="I102" i="1"/>
  <c r="I103" i="1"/>
  <c r="I107" i="1"/>
  <c r="I104" i="1"/>
  <c r="I110" i="1"/>
  <c r="I111" i="1"/>
  <c r="I109" i="1"/>
  <c r="I113" i="1"/>
  <c r="I112" i="1"/>
  <c r="I114" i="1"/>
  <c r="I116" i="1"/>
  <c r="I115" i="1"/>
  <c r="I117" i="1"/>
  <c r="I120" i="1"/>
  <c r="I121" i="1"/>
  <c r="I119" i="1"/>
  <c r="I3" i="1"/>
  <c r="X2" i="1"/>
  <c r="Z75" i="1"/>
  <c r="AA75" i="1" s="1"/>
  <c r="X10" i="1"/>
  <c r="Y10" i="1"/>
  <c r="Z10" i="1"/>
  <c r="X11" i="1"/>
  <c r="Y11" i="1"/>
  <c r="Z11" i="1"/>
  <c r="X12" i="1"/>
  <c r="Y12" i="1"/>
  <c r="Z12" i="1"/>
  <c r="X13" i="1"/>
  <c r="Y13" i="1"/>
  <c r="Z13" i="1"/>
  <c r="X14" i="1"/>
  <c r="Y14" i="1"/>
  <c r="Z14" i="1"/>
  <c r="X16" i="1"/>
  <c r="Y16" i="1"/>
  <c r="Z16" i="1"/>
  <c r="X17" i="1"/>
  <c r="Y17" i="1"/>
  <c r="X23" i="1"/>
  <c r="Y23" i="1"/>
  <c r="Z23" i="1"/>
  <c r="X24" i="1"/>
  <c r="Y24" i="1"/>
  <c r="X25" i="1"/>
  <c r="Y25" i="1"/>
  <c r="Z25" i="1"/>
  <c r="X26" i="1"/>
  <c r="Y26" i="1"/>
  <c r="Z26" i="1"/>
  <c r="X28" i="1"/>
  <c r="Y28" i="1"/>
  <c r="Z28" i="1"/>
  <c r="Z29" i="1"/>
  <c r="AA29" i="1" s="1"/>
  <c r="Z33" i="1"/>
  <c r="AA33" i="1" s="1"/>
  <c r="X34" i="1"/>
  <c r="Y34" i="1"/>
  <c r="Z34" i="1"/>
  <c r="X35" i="1"/>
  <c r="Y35" i="1"/>
  <c r="Z35" i="1"/>
  <c r="X36" i="1"/>
  <c r="Y36" i="1"/>
  <c r="Y37" i="1"/>
  <c r="AA37" i="1" s="1"/>
  <c r="Y38" i="1"/>
  <c r="AA38" i="1" s="1"/>
  <c r="Z39" i="1"/>
  <c r="AA39" i="1" s="1"/>
  <c r="X40" i="1"/>
  <c r="Z40" i="1"/>
  <c r="X44" i="1"/>
  <c r="Y44" i="1"/>
  <c r="Z44" i="1"/>
  <c r="X45" i="1"/>
  <c r="Y45" i="1"/>
  <c r="Z45" i="1"/>
  <c r="Y46" i="1"/>
  <c r="Z46" i="1"/>
  <c r="X47" i="1"/>
  <c r="Y47" i="1"/>
  <c r="Z47" i="1"/>
  <c r="Y48" i="1"/>
  <c r="Z48" i="1"/>
  <c r="X49" i="1"/>
  <c r="Y49" i="1"/>
  <c r="X50" i="1"/>
  <c r="Y50" i="1"/>
  <c r="Z50" i="1"/>
  <c r="X51" i="1"/>
  <c r="Y51" i="1"/>
  <c r="Z51" i="1"/>
  <c r="X52" i="1"/>
  <c r="Y52" i="1"/>
  <c r="Z52" i="1"/>
  <c r="Y53" i="1"/>
  <c r="Z53" i="1"/>
  <c r="X54" i="1"/>
  <c r="AA54" i="1" s="1"/>
  <c r="Y55" i="1"/>
  <c r="Z55" i="1"/>
  <c r="Y57" i="1"/>
  <c r="Z57" i="1"/>
  <c r="Y58" i="1"/>
  <c r="Z58" i="1"/>
  <c r="X59" i="1"/>
  <c r="Y59" i="1"/>
  <c r="Z59" i="1"/>
  <c r="X60" i="1"/>
  <c r="AA60" i="1" s="1"/>
  <c r="Y65" i="1"/>
  <c r="Z65" i="1"/>
  <c r="X66" i="1"/>
  <c r="Y66" i="1"/>
  <c r="Z66" i="1"/>
  <c r="Y67" i="1"/>
  <c r="Z67" i="1"/>
  <c r="X68" i="1"/>
  <c r="Y68" i="1"/>
  <c r="X70" i="1"/>
  <c r="Y70" i="1"/>
  <c r="Z70" i="1"/>
  <c r="X76" i="1"/>
  <c r="AA76" i="1" s="1"/>
  <c r="X77" i="1"/>
  <c r="Y77" i="1"/>
  <c r="Z77" i="1"/>
  <c r="X78" i="1"/>
  <c r="Y78" i="1"/>
  <c r="Z78" i="1"/>
  <c r="X79" i="1"/>
  <c r="Y79" i="1"/>
  <c r="Z79" i="1"/>
  <c r="X80" i="1"/>
  <c r="Y80" i="1"/>
  <c r="Z80" i="1"/>
  <c r="Y81" i="1"/>
  <c r="AA81" i="1" s="1"/>
  <c r="X82" i="1"/>
  <c r="Y82" i="1"/>
  <c r="Z82" i="1"/>
  <c r="X83" i="1"/>
  <c r="Y83" i="1"/>
  <c r="Z83" i="1"/>
  <c r="X84" i="1"/>
  <c r="Y84" i="1"/>
  <c r="Z84" i="1"/>
  <c r="Y85" i="1"/>
  <c r="Z85" i="1"/>
  <c r="Y86" i="1"/>
  <c r="Z86" i="1"/>
  <c r="X87" i="1"/>
  <c r="Y87" i="1"/>
  <c r="Z87" i="1"/>
  <c r="X89" i="1"/>
  <c r="Y89" i="1"/>
  <c r="Z89" i="1"/>
  <c r="X90" i="1"/>
  <c r="Y90" i="1"/>
  <c r="Z90" i="1"/>
  <c r="X91" i="1"/>
  <c r="Y91" i="1"/>
  <c r="Z91" i="1"/>
  <c r="Y92" i="1"/>
  <c r="Z92" i="1"/>
  <c r="X93" i="1"/>
  <c r="Y93" i="1"/>
  <c r="Z93" i="1"/>
  <c r="Y94" i="1"/>
  <c r="Z94" i="1"/>
  <c r="X95" i="1"/>
  <c r="Y95" i="1"/>
  <c r="Z95" i="1"/>
  <c r="X97" i="1"/>
  <c r="Z97" i="1"/>
  <c r="X98" i="1"/>
  <c r="Y98" i="1"/>
  <c r="Z98" i="1"/>
  <c r="X99" i="1"/>
  <c r="Y99" i="1"/>
  <c r="Z99" i="1"/>
  <c r="X100" i="1"/>
  <c r="Y100" i="1"/>
  <c r="Z100" i="1"/>
  <c r="X101" i="1"/>
  <c r="Y101" i="1"/>
  <c r="Z101" i="1"/>
  <c r="X102" i="1"/>
  <c r="Y102" i="1"/>
  <c r="Z102" i="1"/>
  <c r="X103" i="1"/>
  <c r="AA103" i="1" s="1"/>
  <c r="Y104" i="1"/>
  <c r="Z104" i="1"/>
  <c r="Y105" i="1"/>
  <c r="Z105" i="1"/>
  <c r="X106" i="1"/>
  <c r="Y106" i="1"/>
  <c r="Z106" i="1"/>
  <c r="X107" i="1"/>
  <c r="Y107" i="1"/>
  <c r="Z107" i="1"/>
  <c r="X108" i="1"/>
  <c r="Y108" i="1"/>
  <c r="Z108" i="1"/>
  <c r="X112" i="1"/>
  <c r="Y112" i="1"/>
  <c r="Z112" i="1"/>
  <c r="Y113" i="1"/>
  <c r="AA113" i="1" s="1"/>
  <c r="X114" i="1"/>
  <c r="Y114" i="1"/>
  <c r="X116" i="1"/>
  <c r="Z116" i="1"/>
  <c r="X117" i="1"/>
  <c r="AA117" i="1" s="1"/>
  <c r="Y118" i="1"/>
  <c r="Z118" i="1"/>
  <c r="X119" i="1"/>
  <c r="Y119" i="1"/>
  <c r="Z119" i="1"/>
  <c r="X120" i="1"/>
  <c r="AA120" i="1" s="1"/>
  <c r="Y121" i="1"/>
  <c r="Z121" i="1"/>
  <c r="X3" i="1"/>
  <c r="Y3" i="1"/>
  <c r="Z3" i="1"/>
  <c r="X4" i="1"/>
  <c r="Y4" i="1"/>
  <c r="Z4" i="1"/>
  <c r="X5" i="1"/>
  <c r="Z5" i="1"/>
  <c r="Z8" i="1"/>
  <c r="AA8" i="1" s="1"/>
  <c r="Z2" i="1"/>
  <c r="O3" i="2"/>
  <c r="O4" i="2"/>
  <c r="O5" i="2"/>
  <c r="P5" i="2" s="1"/>
  <c r="O6" i="2"/>
  <c r="P6" i="2" s="1"/>
  <c r="P9" i="2"/>
  <c r="P10" i="2"/>
  <c r="O11" i="2"/>
  <c r="P11" i="2" s="1"/>
  <c r="O14" i="2"/>
  <c r="P14" i="2" s="1"/>
  <c r="O2" i="2"/>
  <c r="P2" i="2" s="1"/>
  <c r="P3" i="2"/>
  <c r="P12" i="2"/>
  <c r="P13" i="2"/>
  <c r="P15" i="2"/>
  <c r="P16" i="2"/>
  <c r="P17" i="2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 s="1"/>
  <c r="S52" i="1"/>
  <c r="T52" i="1" s="1"/>
  <c r="S53" i="1"/>
  <c r="T53" i="1" s="1"/>
  <c r="S54" i="1"/>
  <c r="T54" i="1" s="1"/>
  <c r="S55" i="1"/>
  <c r="T55" i="1" s="1"/>
  <c r="S56" i="1"/>
  <c r="T56" i="1" s="1"/>
  <c r="S57" i="1"/>
  <c r="T57" i="1" s="1"/>
  <c r="S58" i="1"/>
  <c r="T58" i="1" s="1"/>
  <c r="S59" i="1"/>
  <c r="T59" i="1" s="1"/>
  <c r="S60" i="1"/>
  <c r="T60" i="1" s="1"/>
  <c r="S61" i="1"/>
  <c r="T61" i="1" s="1"/>
  <c r="S62" i="1"/>
  <c r="T62" i="1" s="1"/>
  <c r="S63" i="1"/>
  <c r="T63" i="1" s="1"/>
  <c r="S64" i="1"/>
  <c r="T64" i="1" s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T74" i="1" s="1"/>
  <c r="S75" i="1"/>
  <c r="T75" i="1" s="1"/>
  <c r="S76" i="1"/>
  <c r="T76" i="1" s="1"/>
  <c r="S77" i="1"/>
  <c r="T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S87" i="1"/>
  <c r="T87" i="1" s="1"/>
  <c r="S88" i="1"/>
  <c r="T88" i="1" s="1"/>
  <c r="S89" i="1"/>
  <c r="T89" i="1" s="1"/>
  <c r="S90" i="1"/>
  <c r="T90" i="1" s="1"/>
  <c r="S91" i="1"/>
  <c r="T91" i="1" s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00" i="1"/>
  <c r="T100" i="1" s="1"/>
  <c r="S101" i="1"/>
  <c r="T101" i="1" s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T117" i="1" s="1"/>
  <c r="S118" i="1"/>
  <c r="T118" i="1" s="1"/>
  <c r="S119" i="1"/>
  <c r="T119" i="1" s="1"/>
  <c r="S120" i="1"/>
  <c r="T120" i="1" s="1"/>
  <c r="S121" i="1"/>
  <c r="T121" i="1" s="1"/>
  <c r="S9" i="1"/>
  <c r="T9" i="1" s="1"/>
  <c r="S3" i="1"/>
  <c r="T3" i="1" s="1"/>
  <c r="S4" i="1"/>
  <c r="T4" i="1" s="1"/>
  <c r="S5" i="1"/>
  <c r="T5" i="1" s="1"/>
  <c r="S6" i="1"/>
  <c r="T6" i="1" s="1"/>
  <c r="S7" i="1"/>
  <c r="T7" i="1" s="1"/>
  <c r="S8" i="1"/>
  <c r="T8" i="1" s="1"/>
  <c r="S2" i="1"/>
  <c r="T2" i="1" s="1"/>
  <c r="AA118" i="1" l="1"/>
  <c r="AA105" i="1"/>
  <c r="AA97" i="1"/>
  <c r="AA92" i="1"/>
  <c r="AA40" i="1"/>
  <c r="AA65" i="1"/>
  <c r="AA34" i="1"/>
  <c r="AA55" i="1"/>
  <c r="AA12" i="1"/>
  <c r="AA58" i="1"/>
  <c r="AA48" i="1"/>
  <c r="AA49" i="1"/>
  <c r="AA24" i="1"/>
  <c r="AA36" i="1"/>
  <c r="AA5" i="1"/>
  <c r="AA90" i="1"/>
  <c r="AA85" i="1"/>
  <c r="AA67" i="1"/>
  <c r="AA52" i="1"/>
  <c r="AA23" i="1"/>
  <c r="AA10" i="1"/>
  <c r="AA114" i="1"/>
  <c r="AA3" i="1"/>
  <c r="AA108" i="1"/>
  <c r="AA104" i="1"/>
  <c r="AA100" i="1"/>
  <c r="AA87" i="1"/>
  <c r="AA83" i="1"/>
  <c r="AA79" i="1"/>
  <c r="AA70" i="1"/>
  <c r="AA46" i="1"/>
  <c r="AA25" i="1"/>
  <c r="AA16" i="1"/>
  <c r="AA116" i="1"/>
  <c r="AA95" i="1"/>
  <c r="AA91" i="1"/>
  <c r="AA50" i="1"/>
  <c r="AA121" i="1"/>
  <c r="AA86" i="1"/>
  <c r="AA68" i="1"/>
  <c r="AA53" i="1"/>
  <c r="AA11" i="1"/>
  <c r="AA107" i="1"/>
  <c r="AA99" i="1"/>
  <c r="AA94" i="1"/>
  <c r="AA82" i="1"/>
  <c r="AA78" i="1"/>
  <c r="AA59" i="1"/>
  <c r="AA45" i="1"/>
  <c r="AA14" i="1"/>
  <c r="AA102" i="1"/>
  <c r="AA28" i="1"/>
  <c r="AA119" i="1"/>
  <c r="AA106" i="1"/>
  <c r="AA98" i="1"/>
  <c r="AA93" i="1"/>
  <c r="AA77" i="1"/>
  <c r="AA44" i="1"/>
  <c r="AA35" i="1"/>
  <c r="AA13" i="1"/>
  <c r="AA4" i="1"/>
  <c r="AA112" i="1"/>
  <c r="AA101" i="1"/>
  <c r="AA89" i="1"/>
  <c r="AA84" i="1"/>
  <c r="AA80" i="1"/>
  <c r="AA66" i="1"/>
  <c r="AA57" i="1"/>
  <c r="AA26" i="1"/>
  <c r="AA17" i="1"/>
  <c r="AA51" i="1"/>
  <c r="AA47" i="1"/>
  <c r="AA2" i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2" i="2"/>
</calcChain>
</file>

<file path=xl/sharedStrings.xml><?xml version="1.0" encoding="utf-8"?>
<sst xmlns="http://schemas.openxmlformats.org/spreadsheetml/2006/main" count="1628" uniqueCount="379">
  <si>
    <t>ProjectID</t>
  </si>
  <si>
    <t>S-26-0685</t>
  </si>
  <si>
    <t>PPMSID</t>
  </si>
  <si>
    <t>PPMS9661</t>
  </si>
  <si>
    <t>SampleID</t>
  </si>
  <si>
    <t>24325-OCC</t>
  </si>
  <si>
    <t>24325-FCX</t>
  </si>
  <si>
    <t>22221-OCC</t>
  </si>
  <si>
    <t>22036-FCX</t>
  </si>
  <si>
    <t>21204-FCX</t>
  </si>
  <si>
    <t>17175-IT</t>
  </si>
  <si>
    <t>21204-OCC</t>
  </si>
  <si>
    <t>17175-FCX</t>
  </si>
  <si>
    <t>22036-IT</t>
  </si>
  <si>
    <t>16081-OCC</t>
  </si>
  <si>
    <t>16081-FCX</t>
  </si>
  <si>
    <t>16081-IT</t>
  </si>
  <si>
    <t>15305-FCX</t>
  </si>
  <si>
    <t>18245-FCX</t>
  </si>
  <si>
    <t>16251-IT</t>
  </si>
  <si>
    <t>16251-FCX</t>
  </si>
  <si>
    <t>18151-OCC</t>
  </si>
  <si>
    <t>18245-OCC</t>
  </si>
  <si>
    <t>18151-IT</t>
  </si>
  <si>
    <t>17175-OCC</t>
  </si>
  <si>
    <t>18151-FCX</t>
  </si>
  <si>
    <t>20306-FCX</t>
  </si>
  <si>
    <t>20306-IT</t>
  </si>
  <si>
    <t>20306-OCC</t>
  </si>
  <si>
    <t>24325-IT</t>
  </si>
  <si>
    <t>23113-OCC</t>
  </si>
  <si>
    <t>24339-OCC</t>
  </si>
  <si>
    <t>21204-IT</t>
  </si>
  <si>
    <t>18279-OCC</t>
  </si>
  <si>
    <t>18279-FCX</t>
  </si>
  <si>
    <t>18279-IT</t>
  </si>
  <si>
    <t>15158-OCC</t>
  </si>
  <si>
    <t>15158-FCX</t>
  </si>
  <si>
    <t>15158-IT</t>
  </si>
  <si>
    <t>15305-IT</t>
  </si>
  <si>
    <t>20121-FCX</t>
  </si>
  <si>
    <t>20121-OCC</t>
  </si>
  <si>
    <t>15305-OCC</t>
  </si>
  <si>
    <t>16251-OCC</t>
  </si>
  <si>
    <t>18245-IT</t>
  </si>
  <si>
    <t>16100-OCC</t>
  </si>
  <si>
    <t>16100-IT</t>
  </si>
  <si>
    <t>17230-IT</t>
  </si>
  <si>
    <t>17230-FCX</t>
  </si>
  <si>
    <t>23403-OCC</t>
  </si>
  <si>
    <t>22221-IT</t>
  </si>
  <si>
    <t>22097-OCC</t>
  </si>
  <si>
    <t>22221-FCX</t>
  </si>
  <si>
    <t>22097-FCX</t>
  </si>
  <si>
    <t>22097-IT</t>
  </si>
  <si>
    <t>22036-OCC</t>
  </si>
  <si>
    <t>24339-FCX</t>
  </si>
  <si>
    <t>20121-IT</t>
  </si>
  <si>
    <t>24339-IT</t>
  </si>
  <si>
    <t>22302-OCC</t>
  </si>
  <si>
    <t>23041-IT</t>
  </si>
  <si>
    <t>23041-OCC</t>
  </si>
  <si>
    <t>23041-FCX</t>
  </si>
  <si>
    <t>23113-IT</t>
  </si>
  <si>
    <t>23113-FCX</t>
  </si>
  <si>
    <t>23198-FCX</t>
  </si>
  <si>
    <t>23198-OCC</t>
  </si>
  <si>
    <t>23198-IT</t>
  </si>
  <si>
    <t>23403-IT</t>
  </si>
  <si>
    <t>23403-FCX</t>
  </si>
  <si>
    <t>17230-OCC</t>
  </si>
  <si>
    <t>20073-OCC</t>
  </si>
  <si>
    <t>16100-FCX</t>
  </si>
  <si>
    <t>18121-IT</t>
  </si>
  <si>
    <t>22302-IT</t>
  </si>
  <si>
    <t>22212-IT</t>
  </si>
  <si>
    <t>22212-FCX</t>
  </si>
  <si>
    <t>22212-OCC</t>
  </si>
  <si>
    <t>18013-OCC</t>
  </si>
  <si>
    <t>21276-OCC</t>
  </si>
  <si>
    <t>21276-IT</t>
  </si>
  <si>
    <t>18056-IT</t>
  </si>
  <si>
    <t>21276-FCX</t>
  </si>
  <si>
    <t>18013-IT</t>
  </si>
  <si>
    <t>18121-OCC</t>
  </si>
  <si>
    <t>18121-FCX</t>
  </si>
  <si>
    <t>18056-FCX</t>
  </si>
  <si>
    <t>14148-FCX</t>
  </si>
  <si>
    <t>18199-FCX</t>
  </si>
  <si>
    <t>19051-OCC</t>
  </si>
  <si>
    <t>18199-IT</t>
  </si>
  <si>
    <t>20073-IT</t>
  </si>
  <si>
    <t>19051-FCX</t>
  </si>
  <si>
    <t>19051-IT</t>
  </si>
  <si>
    <t>18199-OCC</t>
  </si>
  <si>
    <t>23197-OCC</t>
  </si>
  <si>
    <t>23197-IT</t>
  </si>
  <si>
    <t>18056-OCC</t>
  </si>
  <si>
    <t>23197-FCX</t>
  </si>
  <si>
    <t>22302-FCX</t>
  </si>
  <si>
    <t>18013-FCX</t>
  </si>
  <si>
    <t>15252-IT</t>
  </si>
  <si>
    <t>15252-FCX</t>
  </si>
  <si>
    <t>15252-OCC</t>
  </si>
  <si>
    <t>14148-IT</t>
  </si>
  <si>
    <t>16070-OCC</t>
  </si>
  <si>
    <t>16092-FCX</t>
  </si>
  <si>
    <t>16092-OCC</t>
  </si>
  <si>
    <t>16070-FCX</t>
  </si>
  <si>
    <t>16070-IT</t>
  </si>
  <si>
    <t>16092-IT</t>
  </si>
  <si>
    <t>14148-OCC</t>
  </si>
  <si>
    <t>15049-OCC</t>
  </si>
  <si>
    <t>15049-FCX</t>
  </si>
  <si>
    <t>15049-IT</t>
  </si>
  <si>
    <t>15175-IT</t>
  </si>
  <si>
    <t>15175-FCX</t>
  </si>
  <si>
    <t>15175-OCC</t>
  </si>
  <si>
    <t>15089-IT</t>
  </si>
  <si>
    <t>15089-FCX</t>
  </si>
  <si>
    <t>15089-OCC</t>
  </si>
  <si>
    <t>20073-FCX</t>
  </si>
  <si>
    <t>24327-OCC</t>
  </si>
  <si>
    <t>24327-FCX</t>
  </si>
  <si>
    <t>24327-IT</t>
  </si>
  <si>
    <t>AAW16-00165 A4</t>
  </si>
  <si>
    <t>A10-00157 B1</t>
  </si>
  <si>
    <t>SampleName</t>
  </si>
  <si>
    <t>SampleDescription</t>
  </si>
  <si>
    <t>FFPE Brain Tissue Scrolls</t>
  </si>
  <si>
    <t>Position</t>
  </si>
  <si>
    <t>C1</t>
  </si>
  <si>
    <t>F1</t>
  </si>
  <si>
    <t>G1</t>
  </si>
  <si>
    <t>TissueBox</t>
  </si>
  <si>
    <t>Box2</t>
  </si>
  <si>
    <t>DNAPlate</t>
  </si>
  <si>
    <t xml:space="preserve">260/280 </t>
  </si>
  <si>
    <t xml:space="preserve">260/230 </t>
  </si>
  <si>
    <t>Elution Volume (uL)</t>
  </si>
  <si>
    <t>PCR Tube</t>
  </si>
  <si>
    <t>Qubit (ng/uL)</t>
  </si>
  <si>
    <t>Yield (ng)</t>
  </si>
  <si>
    <t>Volume DNA in 1000ng</t>
  </si>
  <si>
    <t>Volume water to 36ul</t>
  </si>
  <si>
    <t>Volume Primer</t>
  </si>
  <si>
    <t>Volume Master Mix</t>
  </si>
  <si>
    <t>Volume Water to 22.5ul</t>
  </si>
  <si>
    <t>Volume of 250ng DNA</t>
  </si>
  <si>
    <t>A1/A4</t>
  </si>
  <si>
    <t>D1/D4</t>
  </si>
  <si>
    <t>E1/E4</t>
  </si>
  <si>
    <t>A2/A5</t>
  </si>
  <si>
    <t>B2/B5</t>
  </si>
  <si>
    <t>C2/C5</t>
  </si>
  <si>
    <t>D2/D5</t>
  </si>
  <si>
    <t>E2/E5</t>
  </si>
  <si>
    <t>G2/G5</t>
  </si>
  <si>
    <t>H2/H5</t>
  </si>
  <si>
    <t>B1/B4/B6</t>
  </si>
  <si>
    <t>H1/H4/H6</t>
  </si>
  <si>
    <t>F2/F5/F6</t>
  </si>
  <si>
    <t>None</t>
  </si>
  <si>
    <t>Well Position</t>
  </si>
  <si>
    <t>B19 Ct value - Replicate #1 (5/4/26)</t>
  </si>
  <si>
    <t>B19 Ct value - Replicate #2 (5/4/26)</t>
  </si>
  <si>
    <t>B19 Ct value - Replicate #3 (5/4/26)</t>
  </si>
  <si>
    <t>Diagnosis</t>
  </si>
  <si>
    <t>Age</t>
  </si>
  <si>
    <t>Gender</t>
  </si>
  <si>
    <t>A05-00092 LH</t>
  </si>
  <si>
    <t>DLBD</t>
  </si>
  <si>
    <t>M</t>
  </si>
  <si>
    <t>A05-00092 LDLPF</t>
  </si>
  <si>
    <t>A09-00015 B4</t>
  </si>
  <si>
    <t>Control</t>
  </si>
  <si>
    <t>F</t>
  </si>
  <si>
    <t>AAW21-0114 A1</t>
  </si>
  <si>
    <t>A10-00157 B4</t>
  </si>
  <si>
    <t>A16-00042 A1</t>
  </si>
  <si>
    <t>A10-00037 B2</t>
  </si>
  <si>
    <t>AAW17-00095 B1</t>
  </si>
  <si>
    <t>A10-00037 B1</t>
  </si>
  <si>
    <t>A12-00103 A4</t>
  </si>
  <si>
    <t>A12-00103 A1</t>
  </si>
  <si>
    <t>A07-00089 RF</t>
  </si>
  <si>
    <t>A07-00089 LF (LH on manifest)</t>
  </si>
  <si>
    <t>AAW16-00165 A1</t>
  </si>
  <si>
    <t>B19 Ct value - Replicate #1 (1/22/26)</t>
  </si>
  <si>
    <t>B19 1/Ct value - Replicate #1 (1/22/26)</t>
  </si>
  <si>
    <t>B19 1/Ct value - Replicate #1 (5/4/26)</t>
  </si>
  <si>
    <t>B19 1/Ct value - Replicate #2 (5/4/26)</t>
  </si>
  <si>
    <t>N/A</t>
  </si>
  <si>
    <t>Mean 1/Ct value</t>
  </si>
  <si>
    <t>Conc. (ng/ul)</t>
  </si>
  <si>
    <t xml:space="preserve">Mayo ID </t>
  </si>
  <si>
    <t>Alt ID</t>
  </si>
  <si>
    <t>Kapila Barcode ID</t>
  </si>
  <si>
    <t>XX-000069-54E1-OBD01-01-01-DB01-02-68</t>
  </si>
  <si>
    <t>XX-000069-54E1-FBD01-01-01-DB01-02-69</t>
  </si>
  <si>
    <t>XX-000070-54E1-OBD01-01-01-DB01-02-70</t>
  </si>
  <si>
    <t>XX-000071-54E1-FBD01-01-01-DB01-02-71</t>
  </si>
  <si>
    <t>XX-000072-54E1-FBD01-01-01-DB01-02-72</t>
  </si>
  <si>
    <t>XX-000073-54E1-ITD01-01-01-DB01-02-73</t>
  </si>
  <si>
    <t>XX-000072-54E1-OBD01-01-01-DB01-02-74</t>
  </si>
  <si>
    <t>XX-000073-54E1-FBD01-01-01-DB01-02-75</t>
  </si>
  <si>
    <t>XX-000071-54E1-ITD01-01-01-DB01-02-76</t>
  </si>
  <si>
    <t>XX-000074-54E1-OBD01-01-01-DB01-02-77</t>
  </si>
  <si>
    <t>XX-000074-54E1-FBD01-01-01-DB01-02-78</t>
  </si>
  <si>
    <t>XX-000074-54E1-ITD01-01-01-DB01-02-79</t>
  </si>
  <si>
    <t>XX-000075-54E1-FBD01-01-01-DB01-02-80</t>
  </si>
  <si>
    <t>XX-000076-54E1-FBD01-01-01-DB01-02-81</t>
  </si>
  <si>
    <t>XX-000077-54E1-ITD01-01-01-DB01-03-01</t>
  </si>
  <si>
    <t>XX-000077-54E1-FBD01-01-01-DB01-03-02</t>
  </si>
  <si>
    <t>XX-000078-54E1-OBD01-01-01-DB01-03-03</t>
  </si>
  <si>
    <t>XX-000076-54E1-OBD01-01-01-DB01-03-04</t>
  </si>
  <si>
    <t>XX-000078-54E1-ITD01-01-01-DB01-03-05</t>
  </si>
  <si>
    <t>XX-000073-54E1-OBD01-01-01-DB01-03-06</t>
  </si>
  <si>
    <t>XX-000078-54E1-FBD01-01-01-DB01-03-07</t>
  </si>
  <si>
    <t>XX-000079-54E1-FBD01-01-01-DB01-03-08</t>
  </si>
  <si>
    <t>XX-000079-54E1-ITD01-01-01-DB01-03-09</t>
  </si>
  <si>
    <t>XX-000079-54E1-OBD01-01-01-DB01-03-10</t>
  </si>
  <si>
    <t>XX-000069-54E1-ITD01-01-01-DB01-03-11</t>
  </si>
  <si>
    <t>XX-000080-54E1-OBD01-01-01-DB01-03-12</t>
  </si>
  <si>
    <t>XX-000081-54E1-OBD01-01-01-DB01-03-13</t>
  </si>
  <si>
    <t>XX-000072-54E1-ITD01-01-01-DB01-03-14</t>
  </si>
  <si>
    <t>XX-000082-54E1-OBD01-01-01-DB01-03-15</t>
  </si>
  <si>
    <t>XX-000082-54E1-FBD01-01-01-DB01-03-16</t>
  </si>
  <si>
    <t>XX-000082-54E1-ITD01-01-01-DB01-03-17</t>
  </si>
  <si>
    <t>XX-000083-54E1-OBD01-01-01-DB01-03-18</t>
  </si>
  <si>
    <t>XX-000083-54E1-FBD01-01-01-DB01-03-19</t>
  </si>
  <si>
    <t>XX-000083-54E1-ITD01-01-01-DB01-03-20</t>
  </si>
  <si>
    <t>XX-000075-54E1-ITD01-01-01-DB01-03-21</t>
  </si>
  <si>
    <t>XX-000084-54E1-FBD01-01-01-DB01-03-22</t>
  </si>
  <si>
    <t>XX-000084-54E1-OBD01-01-01-DB01-03-23</t>
  </si>
  <si>
    <t>XX-000075-54E1-OBD01-01-01-DB01-03-24</t>
  </si>
  <si>
    <t>XX-000077-54E1-OBD01-01-01-DB01-03-25</t>
  </si>
  <si>
    <t>XX-000076-54E1-ITD01-01-01-DB01-03-26</t>
  </si>
  <si>
    <t>XX-000085-54E1-OBD01-01-01-DB01-03-27</t>
  </si>
  <si>
    <t>XX-000085-54E1-ITD01-01-01-DB01-03-28</t>
  </si>
  <si>
    <t>XX-000086-54E1-ITD01-01-01-DB01-03-29</t>
  </si>
  <si>
    <t>XX-000086-54E1-FBD01-01-01-DB01-03-30</t>
  </si>
  <si>
    <t>XX-000087-54E1-OBD01-01-01-DB01-03-31</t>
  </si>
  <si>
    <t>XX-000070-54E1-ITD01-01-01-DB01-03-32</t>
  </si>
  <si>
    <t>XX-000088-54E1-OBD01-01-01-DB01-03-33</t>
  </si>
  <si>
    <t>XX-000070-54E1-FBD01-01-01-DB01-03-34</t>
  </si>
  <si>
    <t>XX-000088-54E1-FBD01-01-01-DB01-03-35</t>
  </si>
  <si>
    <t>XX-000088-54E1-ITD01-01-01-DB01-03-36</t>
  </si>
  <si>
    <t>XX-000071-54E1-OBD01-01-01-DB01-03-37</t>
  </si>
  <si>
    <t>XX-000081-54E1-FBD01-01-01-DB01-03-38</t>
  </si>
  <si>
    <t>XX-000084-54E1-ITD01-01-01-DB01-03-39</t>
  </si>
  <si>
    <t>XX-000081-54E1-ITD01-01-01-DB01-03-40</t>
  </si>
  <si>
    <t>XX-000089-54E1-OBD01-01-01-DB01-03-41</t>
  </si>
  <si>
    <t>XX-000090-54E1-ITD01-01-01-DB01-03-42</t>
  </si>
  <si>
    <t>XX-000090-54E1-OBD01-01-01-DB01-03-43</t>
  </si>
  <si>
    <t>XX-000090-54E1-FBD01-01-01-DB01-03-44</t>
  </si>
  <si>
    <t>XX-000080-54E1-ITD01-01-01-DB01-03-45</t>
  </si>
  <si>
    <t>XX-000080-54E1-FBD01-01-01-DB01-03-46</t>
  </si>
  <si>
    <t>XX-000091-54E1-FBD01-01-01-DB01-03-47</t>
  </si>
  <si>
    <t>XX-000091-54E1-OBD01-01-01-DB01-03-48</t>
  </si>
  <si>
    <t>XX-000091-54E1-ITD01-01-01-DB01-03-49</t>
  </si>
  <si>
    <t>XX-000087-54E1-ITD01-01-01-DB01-03-50</t>
  </si>
  <si>
    <t>XX-000087-54E1-FBD01-01-01-DB01-03-51</t>
  </si>
  <si>
    <t>XX-000086-54E1-OBD01-01-01-DB01-03-52</t>
  </si>
  <si>
    <t>XX-000092-54E1-OBD01-01-01-DB01-03-53</t>
  </si>
  <si>
    <t>XX-000085-54E1-FBD01-01-01-DB01-03-54</t>
  </si>
  <si>
    <t>XX-000093-54E1-ITD01-01-01-DB01-03-55</t>
  </si>
  <si>
    <t>XX-000089-54E1-ITD01-01-01-DB01-03-56</t>
  </si>
  <si>
    <t>XX-000094-54E1-ITD01-01-01-DB01-03-57</t>
  </si>
  <si>
    <t>XX-000094-54E1-FBD01-01-01-DB01-03-58</t>
  </si>
  <si>
    <t>XX-000094-54E1-OBD01-01-01-DB01-03-59</t>
  </si>
  <si>
    <t>XX-000095-54E1-OBD01-01-01-DB01-03-60</t>
  </si>
  <si>
    <t>XX-000096-54E1-OBD01-01-01-DB01-03-61</t>
  </si>
  <si>
    <t>XX-000096-54E1-ITD01-01-01-DB01-03-62</t>
  </si>
  <si>
    <t>XX-000097-54E1-ITD01-01-01-DB01-03-63</t>
  </si>
  <si>
    <t>XX-000096-54E1-FBD01-01-01-DB01-03-64</t>
  </si>
  <si>
    <t>XX-000095-54E1-ITD01-01-01-DB01-03-65</t>
  </si>
  <si>
    <t>XX-000093-54E1-OBD01-01-01-DB01-03-66</t>
  </si>
  <si>
    <t>XX-000093-54E1-FBD01-01-01-DB01-03-67</t>
  </si>
  <si>
    <t>XX-000097-54E1-FBD01-01-01-DB01-03-68</t>
  </si>
  <si>
    <t>XX-000098-54E1-FBD01-01-01-DB01-03-69</t>
  </si>
  <si>
    <t>XX-000099-54E1-FBD01-01-01-DB01-03-70</t>
  </si>
  <si>
    <t>XX-000100-54E1-OBD01-01-01-DB01-03-71</t>
  </si>
  <si>
    <t>XX-000099-54E1-ITD01-01-01-DB01-03-72</t>
  </si>
  <si>
    <t>XX-000092-54E1-ITD01-01-01-DB01-03-73</t>
  </si>
  <si>
    <t>XX-000100-54E1-FBD01-01-01-DB01-03-74</t>
  </si>
  <si>
    <t>XX-000100-54E1-ITD01-01-01-DB01-03-75</t>
  </si>
  <si>
    <t>XX-000099-54E1-OBD01-01-01-DB01-03-76</t>
  </si>
  <si>
    <t>XX-000101-54E1-OBD01-01-01-DB01-03-77</t>
  </si>
  <si>
    <t>XX-000101-54E1-ITD01-01-01-DB01-03-78</t>
  </si>
  <si>
    <t>XX-000097-54E1-OBD01-01-01-DB01-03-79</t>
  </si>
  <si>
    <t>XX-000101-54E1-FBD01-01-01-DB01-03-80</t>
  </si>
  <si>
    <t>XX-000089-54E1-FBD01-01-01-DB01-03-81</t>
  </si>
  <si>
    <t>XX-000095-54E1-FBD01-01-01-DB01-04-01</t>
  </si>
  <si>
    <t>XX-000102-54E1-ITD01-01-01-DB01-04-02</t>
  </si>
  <si>
    <t>XX-000102-54E1-FBD01-01-01-DB01-04-03</t>
  </si>
  <si>
    <t>XX-000102-54E1-OBD01-01-01-DB01-04-04</t>
  </si>
  <si>
    <t>XX-000098-54E1-ITD01-01-01-DB01-04-05</t>
  </si>
  <si>
    <t>XX-000103-54E1-OBD01-01-01-DB01-04-06</t>
  </si>
  <si>
    <t>XX-000104-54E1-FBD01-01-01-DB01-04-07</t>
  </si>
  <si>
    <t>XX-000104-54E1-OBD01-01-01-DB01-04-08</t>
  </si>
  <si>
    <t>XX-000103-54E1-FBD01-01-01-DB01-04-09</t>
  </si>
  <si>
    <t>XX-000103-54E1-ITD01-01-01-DB01-04-10</t>
  </si>
  <si>
    <t>XX-000104-54E1-ITD01-01-01-DB01-04-11</t>
  </si>
  <si>
    <t>XX-000098-54E1-OBD01-01-01-DB01-04-12</t>
  </si>
  <si>
    <t>XX-000105-54E1-OBD01-01-01-DB01-04-13</t>
  </si>
  <si>
    <t>XX-000105-54E1-FBD01-01-01-DB01-04-14</t>
  </si>
  <si>
    <t>XX-000105-54E1-ITD01-01-01-DB01-04-15</t>
  </si>
  <si>
    <t>XX-000106-54E1-ITD01-01-01-DB01-04-16</t>
  </si>
  <si>
    <t>XX-000106-54E1-FBD01-01-01-DB01-04-17</t>
  </si>
  <si>
    <t>XX-000106-54E1-OBD01-01-01-DB01-04-18</t>
  </si>
  <si>
    <t>XX-000107-54E1-ITD01-01-01-DB01-04-19</t>
  </si>
  <si>
    <t>XX-000107-54E1-FBD01-01-01-DB01-04-20</t>
  </si>
  <si>
    <t>XX-000107-54E1-OBD01-01-01-DB01-04-21</t>
  </si>
  <si>
    <t>XX-000092-54E1-FBD01-01-01-DB01-04-22</t>
  </si>
  <si>
    <t>XX-000108-54E1-OBD01-01-01-DB01-04-23</t>
  </si>
  <si>
    <t>XX-000108-54E1-FBD01-01-01-DB01-04-24</t>
  </si>
  <si>
    <t>XX-000108-54E1-ITD01-01-01-DB01-04-25</t>
  </si>
  <si>
    <t>p2058</t>
  </si>
  <si>
    <t>BCM B19 RPKMF</t>
  </si>
  <si>
    <t>Kapila Patient ID</t>
  </si>
  <si>
    <t>000069</t>
  </si>
  <si>
    <t>000070</t>
  </si>
  <si>
    <t>000071</t>
  </si>
  <si>
    <t>000072</t>
  </si>
  <si>
    <t>000073</t>
  </si>
  <si>
    <t>000074</t>
  </si>
  <si>
    <t>000075</t>
  </si>
  <si>
    <t>000076</t>
  </si>
  <si>
    <t>000077</t>
  </si>
  <si>
    <t>000078</t>
  </si>
  <si>
    <t>000079</t>
  </si>
  <si>
    <t>000080</t>
  </si>
  <si>
    <t>000081</t>
  </si>
  <si>
    <t>000082</t>
  </si>
  <si>
    <t>000083</t>
  </si>
  <si>
    <t>000084</t>
  </si>
  <si>
    <t>000085</t>
  </si>
  <si>
    <t>000086</t>
  </si>
  <si>
    <t>000087</t>
  </si>
  <si>
    <t>000088</t>
  </si>
  <si>
    <t>000089</t>
  </si>
  <si>
    <t>000090</t>
  </si>
  <si>
    <t>000091</t>
  </si>
  <si>
    <t>000092</t>
  </si>
  <si>
    <t>000093</t>
  </si>
  <si>
    <t>000094</t>
  </si>
  <si>
    <t>000095</t>
  </si>
  <si>
    <t>000096</t>
  </si>
  <si>
    <t>000097</t>
  </si>
  <si>
    <t>000098</t>
  </si>
  <si>
    <t>000099</t>
  </si>
  <si>
    <t>000100</t>
  </si>
  <si>
    <t>000101</t>
  </si>
  <si>
    <t>000102</t>
  </si>
  <si>
    <t>000103</t>
  </si>
  <si>
    <t>000104</t>
  </si>
  <si>
    <t>000105</t>
  </si>
  <si>
    <t>000106</t>
  </si>
  <si>
    <t>000107</t>
  </si>
  <si>
    <t>000108</t>
  </si>
  <si>
    <t>OBD</t>
  </si>
  <si>
    <t>FBD</t>
  </si>
  <si>
    <t>ITD</t>
  </si>
  <si>
    <t>Brain Region Abbr</t>
  </si>
  <si>
    <t xml:space="preserve"> Occipital</t>
  </si>
  <si>
    <t xml:space="preserve"> Frontal</t>
  </si>
  <si>
    <t xml:space="preserve"> Inferior Cortex</t>
  </si>
  <si>
    <t>Brain Region</t>
  </si>
  <si>
    <t>Kapila Barcode ID (from BCM spreadsheet)</t>
  </si>
  <si>
    <t>Agreement?</t>
  </si>
  <si>
    <t>BCM Pool</t>
  </si>
  <si>
    <t>Tissue Agreement?</t>
  </si>
  <si>
    <t>Sample Type Agreement?</t>
  </si>
  <si>
    <t>BCM tissue region</t>
  </si>
  <si>
    <t>BCM sample_type</t>
  </si>
  <si>
    <t>Patient Number Agreement?</t>
  </si>
  <si>
    <t>BCM B19 read_count</t>
  </si>
  <si>
    <t>patient_number (from BCM spreadsheet)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</si>
</sst>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0" fillId="0" borderId="1" xfId="0" applyNumberFormat="1" applyBorder="1"/>
    <xf numFmtId="0" fontId="6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7" fillId="4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21"/>
  <sheetViews>
    <sheetView tabSelected="1" topLeftCell="R1" zoomScale="160" zoomScaleNormal="160" workbookViewId="0">
      <pane ySplit="1" topLeftCell="A108" activePane="bottomLeft" state="frozen"/>
      <selection pane="bottomLeft" activeCell="AA115" sqref="AA115"/>
    </sheetView>
  </sheetViews>
  <sheetFormatPr baseColWidth="10" defaultColWidth="9.1640625" defaultRowHeight="16" x14ac:dyDescent="0.2"/>
  <cols>
    <col min="1" max="1" width="12.33203125" style="1" bestFit="1" customWidth="1"/>
    <col min="2" max="2" width="10.1640625" style="1" bestFit="1" customWidth="1"/>
    <col min="3" max="3" width="10.1640625" style="1" customWidth="1"/>
    <col min="4" max="4" width="13.33203125" style="1" bestFit="1" customWidth="1"/>
    <col min="5" max="5" width="10.1640625" style="1" customWidth="1"/>
    <col min="6" max="6" width="37.33203125" style="1" bestFit="1" customWidth="1"/>
    <col min="7" max="7" width="12.6640625" style="1" customWidth="1"/>
    <col min="8" max="8" width="37.33203125" style="1" bestFit="1" customWidth="1"/>
    <col min="9" max="9" width="11.33203125" style="1" customWidth="1"/>
    <col min="10" max="10" width="9.1640625" style="1"/>
    <col min="11" max="11" width="13.33203125" style="1" bestFit="1" customWidth="1"/>
    <col min="12" max="12" width="7.5" style="1" customWidth="1"/>
    <col min="13" max="15" width="9.1640625" style="1"/>
    <col min="16" max="16" width="6.83203125" style="1" bestFit="1" customWidth="1"/>
    <col min="17" max="18" width="9.5" style="1" customWidth="1"/>
    <col min="19" max="19" width="8.5" style="1" customWidth="1"/>
    <col min="20" max="20" width="8.1640625" style="1" customWidth="1"/>
    <col min="21" max="21" width="9" style="1" customWidth="1"/>
    <col min="22" max="27" width="9.1640625" style="1"/>
    <col min="28" max="28" width="11.1640625" style="1" customWidth="1"/>
    <col min="29" max="16384" width="9.1640625" style="1"/>
  </cols>
  <sheetData>
    <row r="1" spans="1:29" s="9" customFormat="1" ht="94" customHeight="1" x14ac:dyDescent="0.2">
      <c r="A1" s="38" t="s">
        <v>195</v>
      </c>
      <c r="B1" s="38" t="s">
        <v>196</v>
      </c>
      <c r="C1" s="38" t="s">
        <v>320</v>
      </c>
      <c r="D1" s="38" t="s">
        <v>368</v>
      </c>
      <c r="E1" s="38" t="s">
        <v>364</v>
      </c>
      <c r="F1" s="38" t="s">
        <v>197</v>
      </c>
      <c r="G1" s="8" t="s">
        <v>378</v>
      </c>
      <c r="H1" s="8" t="s">
        <v>369</v>
      </c>
      <c r="I1" s="8" t="s">
        <v>370</v>
      </c>
      <c r="J1" s="8" t="s">
        <v>371</v>
      </c>
      <c r="K1" s="8" t="s">
        <v>374</v>
      </c>
      <c r="L1" s="8" t="s">
        <v>375</v>
      </c>
      <c r="M1" s="8" t="s">
        <v>372</v>
      </c>
      <c r="N1" s="8" t="s">
        <v>373</v>
      </c>
      <c r="O1" s="8" t="s">
        <v>376</v>
      </c>
      <c r="P1" s="38" t="s">
        <v>194</v>
      </c>
      <c r="Q1" s="38" t="s">
        <v>137</v>
      </c>
      <c r="R1" s="38" t="s">
        <v>138</v>
      </c>
      <c r="S1" s="38" t="s">
        <v>143</v>
      </c>
      <c r="T1" s="38" t="s">
        <v>144</v>
      </c>
      <c r="U1" s="38" t="s">
        <v>188</v>
      </c>
      <c r="V1" s="38" t="s">
        <v>164</v>
      </c>
      <c r="W1" s="38" t="s">
        <v>165</v>
      </c>
      <c r="X1" s="38" t="s">
        <v>189</v>
      </c>
      <c r="Y1" s="38" t="s">
        <v>190</v>
      </c>
      <c r="Z1" s="38" t="s">
        <v>191</v>
      </c>
      <c r="AA1" s="38" t="s">
        <v>193</v>
      </c>
      <c r="AB1" s="8" t="s">
        <v>377</v>
      </c>
      <c r="AC1" s="8" t="s">
        <v>319</v>
      </c>
    </row>
    <row r="2" spans="1:29" x14ac:dyDescent="0.2">
      <c r="A2" s="2" t="s">
        <v>5</v>
      </c>
      <c r="B2" s="2">
        <v>1</v>
      </c>
      <c r="C2" s="2" t="s">
        <v>321</v>
      </c>
      <c r="D2" s="2" t="s">
        <v>365</v>
      </c>
      <c r="E2" s="2" t="s">
        <v>361</v>
      </c>
      <c r="F2" s="37" t="s">
        <v>198</v>
      </c>
      <c r="G2" s="2" t="s">
        <v>321</v>
      </c>
      <c r="H2" s="2" t="s">
        <v>198</v>
      </c>
      <c r="I2" s="2" t="str">
        <f>IF(F2=H2,"YES","NO")</f>
        <v>YES</v>
      </c>
      <c r="J2" s="2" t="s">
        <v>318</v>
      </c>
      <c r="K2" s="2" t="s">
        <v>365</v>
      </c>
      <c r="L2" s="2" t="s">
        <v>361</v>
      </c>
      <c r="M2" s="2" t="str">
        <f>IF(E2=L2,"YES","NO")</f>
        <v>YES</v>
      </c>
      <c r="N2" s="2" t="str">
        <f>IF(D2=K2,"YES","NO")</f>
        <v>YES</v>
      </c>
      <c r="O2" s="2" t="str">
        <f>IF(C2=G2,"YES","NO")</f>
        <v>YES</v>
      </c>
      <c r="P2" s="2">
        <v>196.2</v>
      </c>
      <c r="Q2" s="2">
        <v>1.86</v>
      </c>
      <c r="R2" s="2">
        <v>1.84</v>
      </c>
      <c r="S2" s="10">
        <f>1000/P2</f>
        <v>5.0968399592252807</v>
      </c>
      <c r="T2" s="10">
        <f>36-S2</f>
        <v>30.903160040774718</v>
      </c>
      <c r="U2" s="17">
        <v>32.732879638671875</v>
      </c>
      <c r="V2" s="17" t="s">
        <v>162</v>
      </c>
      <c r="W2" s="17">
        <v>33.770271301269531</v>
      </c>
      <c r="X2" s="31">
        <f>1/U2</f>
        <v>3.0550321604413986E-2</v>
      </c>
      <c r="Y2" s="31" t="s">
        <v>192</v>
      </c>
      <c r="Z2" s="33">
        <f>1/W2</f>
        <v>2.9611843833851782E-2</v>
      </c>
      <c r="AA2" s="33">
        <f>AVERAGE(X2:Z2)</f>
        <v>3.0081082719132884E-2</v>
      </c>
      <c r="AB2" s="2">
        <v>0</v>
      </c>
      <c r="AC2" s="2">
        <v>0</v>
      </c>
    </row>
    <row r="3" spans="1:29" x14ac:dyDescent="0.2">
      <c r="A3" s="2" t="s">
        <v>6</v>
      </c>
      <c r="B3" s="2">
        <v>2</v>
      </c>
      <c r="C3" s="2" t="s">
        <v>321</v>
      </c>
      <c r="D3" s="2" t="s">
        <v>366</v>
      </c>
      <c r="E3" s="2" t="s">
        <v>362</v>
      </c>
      <c r="F3" s="2" t="s">
        <v>199</v>
      </c>
      <c r="G3" s="2" t="s">
        <v>321</v>
      </c>
      <c r="H3" s="2" t="s">
        <v>199</v>
      </c>
      <c r="I3" s="2" t="str">
        <f>IF(F3=H3,"YES","NO")</f>
        <v>YES</v>
      </c>
      <c r="J3" s="2" t="s">
        <v>318</v>
      </c>
      <c r="K3" s="2" t="s">
        <v>366</v>
      </c>
      <c r="L3" s="2" t="s">
        <v>362</v>
      </c>
      <c r="M3" s="2" t="str">
        <f>IF(E3=L3,"YES","NO")</f>
        <v>YES</v>
      </c>
      <c r="N3" s="2" t="str">
        <f>IF(D3=K3,"YES","NO")</f>
        <v>YES</v>
      </c>
      <c r="O3" s="2" t="str">
        <f>IF(C3=G3,"YES","NO")</f>
        <v>YES</v>
      </c>
      <c r="P3" s="2">
        <v>225.8</v>
      </c>
      <c r="Q3" s="2">
        <v>1.89</v>
      </c>
      <c r="R3" s="2">
        <v>2.0499999999999998</v>
      </c>
      <c r="S3" s="10">
        <f>1000/P3</f>
        <v>4.4286979627989371</v>
      </c>
      <c r="T3" s="10">
        <f>36-S3</f>
        <v>31.571302037201065</v>
      </c>
      <c r="U3" s="10">
        <v>32.308834075927734</v>
      </c>
      <c r="V3" s="10">
        <v>33.137149810791016</v>
      </c>
      <c r="W3" s="10">
        <v>32.887226104736328</v>
      </c>
      <c r="X3" s="34">
        <f>1/U3</f>
        <v>3.0951287120108972E-2</v>
      </c>
      <c r="Y3" s="34">
        <f>1/V3</f>
        <v>3.0177610497881532E-2</v>
      </c>
      <c r="Z3" s="36">
        <f>1/W3</f>
        <v>3.0406942708250569E-2</v>
      </c>
      <c r="AA3" s="36">
        <f>AVERAGE(X3:Z3)</f>
        <v>3.051194677541369E-2</v>
      </c>
      <c r="AB3" s="2">
        <v>0</v>
      </c>
      <c r="AC3" s="2">
        <v>0</v>
      </c>
    </row>
    <row r="4" spans="1:29" x14ac:dyDescent="0.2">
      <c r="A4" s="2" t="s">
        <v>7</v>
      </c>
      <c r="B4" s="2">
        <v>3</v>
      </c>
      <c r="C4" s="2" t="s">
        <v>322</v>
      </c>
      <c r="D4" s="2" t="s">
        <v>365</v>
      </c>
      <c r="E4" s="2" t="s">
        <v>361</v>
      </c>
      <c r="F4" s="2" t="s">
        <v>200</v>
      </c>
      <c r="G4" s="2" t="s">
        <v>322</v>
      </c>
      <c r="H4" s="2" t="s">
        <v>200</v>
      </c>
      <c r="I4" s="2" t="str">
        <f>IF(F4=H4,"YES","NO")</f>
        <v>YES</v>
      </c>
      <c r="J4" s="2" t="s">
        <v>318</v>
      </c>
      <c r="K4" s="2" t="s">
        <v>365</v>
      </c>
      <c r="L4" s="2" t="s">
        <v>361</v>
      </c>
      <c r="M4" s="2" t="str">
        <f>IF(E4=L4,"YES","NO")</f>
        <v>YES</v>
      </c>
      <c r="N4" s="2" t="str">
        <f>IF(D4=K4,"YES","NO")</f>
        <v>YES</v>
      </c>
      <c r="O4" s="2" t="str">
        <f>IF(C4=G4,"YES","NO")</f>
        <v>YES</v>
      </c>
      <c r="P4" s="2">
        <v>98.93</v>
      </c>
      <c r="Q4" s="2">
        <v>1.87</v>
      </c>
      <c r="R4" s="2">
        <v>1.82</v>
      </c>
      <c r="S4" s="10">
        <f>1000/P4</f>
        <v>10.108157282927321</v>
      </c>
      <c r="T4" s="10">
        <f>36-S4</f>
        <v>25.891842717072677</v>
      </c>
      <c r="U4" s="10">
        <v>33.964912414550781</v>
      </c>
      <c r="V4" s="10">
        <v>33.604286193847656</v>
      </c>
      <c r="W4" s="10">
        <v>35.784950256347656</v>
      </c>
      <c r="X4" s="34">
        <f>1/U4</f>
        <v>2.9442148644304871E-2</v>
      </c>
      <c r="Y4" s="34">
        <f>1/V4</f>
        <v>2.9758108660051887E-2</v>
      </c>
      <c r="Z4" s="36">
        <f>1/W4</f>
        <v>2.7944708399381291E-2</v>
      </c>
      <c r="AA4" s="36">
        <f>AVERAGE(X4:Z4)</f>
        <v>2.9048321901246014E-2</v>
      </c>
      <c r="AB4" s="2">
        <v>0</v>
      </c>
      <c r="AC4" s="2">
        <v>0</v>
      </c>
    </row>
    <row r="5" spans="1:29" x14ac:dyDescent="0.2">
      <c r="A5" s="2" t="s">
        <v>8</v>
      </c>
      <c r="B5" s="2">
        <v>4</v>
      </c>
      <c r="C5" s="2" t="s">
        <v>323</v>
      </c>
      <c r="D5" s="2" t="s">
        <v>366</v>
      </c>
      <c r="E5" s="2" t="s">
        <v>362</v>
      </c>
      <c r="F5" s="2" t="s">
        <v>201</v>
      </c>
      <c r="G5" s="2" t="s">
        <v>323</v>
      </c>
      <c r="H5" s="2" t="s">
        <v>201</v>
      </c>
      <c r="I5" s="2" t="str">
        <f>IF(F5=H5,"YES","NO")</f>
        <v>YES</v>
      </c>
      <c r="J5" s="2" t="s">
        <v>318</v>
      </c>
      <c r="K5" s="2" t="s">
        <v>366</v>
      </c>
      <c r="L5" s="2" t="s">
        <v>362</v>
      </c>
      <c r="M5" s="2" t="str">
        <f>IF(E5=L5,"YES","NO")</f>
        <v>YES</v>
      </c>
      <c r="N5" s="2" t="str">
        <f>IF(D5=K5,"YES","NO")</f>
        <v>YES</v>
      </c>
      <c r="O5" s="2" t="str">
        <f>IF(C5=G5,"YES","NO")</f>
        <v>YES</v>
      </c>
      <c r="P5" s="2">
        <v>129.80000000000001</v>
      </c>
      <c r="Q5" s="2">
        <v>1.82</v>
      </c>
      <c r="R5" s="2">
        <v>1.73</v>
      </c>
      <c r="S5" s="10">
        <f>1000/P5</f>
        <v>7.7041602465331271</v>
      </c>
      <c r="T5" s="10">
        <f>36-S5</f>
        <v>28.295839753466872</v>
      </c>
      <c r="U5" s="17">
        <v>32.300064086914062</v>
      </c>
      <c r="V5" s="17" t="s">
        <v>162</v>
      </c>
      <c r="W5" s="17">
        <v>35.00775146484375</v>
      </c>
      <c r="X5" s="31">
        <f>1/U5</f>
        <v>3.0959690894394744E-2</v>
      </c>
      <c r="Y5" s="31" t="s">
        <v>192</v>
      </c>
      <c r="Z5" s="33">
        <f>1/W5</f>
        <v>2.856510224611946E-2</v>
      </c>
      <c r="AA5" s="33">
        <f>AVERAGE(X5:Z5)</f>
        <v>2.9762396570257102E-2</v>
      </c>
      <c r="AB5" s="2">
        <v>1151</v>
      </c>
      <c r="AC5" s="2">
        <v>11.311336485287301</v>
      </c>
    </row>
    <row r="6" spans="1:29" x14ac:dyDescent="0.2">
      <c r="A6" s="2" t="s">
        <v>9</v>
      </c>
      <c r="B6" s="2">
        <v>5</v>
      </c>
      <c r="C6" s="2" t="s">
        <v>324</v>
      </c>
      <c r="D6" s="2" t="s">
        <v>366</v>
      </c>
      <c r="E6" s="2" t="s">
        <v>362</v>
      </c>
      <c r="F6" s="2" t="s">
        <v>202</v>
      </c>
      <c r="G6" s="2" t="s">
        <v>324</v>
      </c>
      <c r="H6" s="2" t="s">
        <v>202</v>
      </c>
      <c r="I6" s="2" t="str">
        <f>IF(F6=H6,"YES","NO")</f>
        <v>YES</v>
      </c>
      <c r="J6" s="2" t="s">
        <v>318</v>
      </c>
      <c r="K6" s="2" t="s">
        <v>366</v>
      </c>
      <c r="L6" s="2" t="s">
        <v>362</v>
      </c>
      <c r="M6" s="2" t="str">
        <f>IF(E6=L6,"YES","NO")</f>
        <v>YES</v>
      </c>
      <c r="N6" s="2" t="str">
        <f>IF(D6=K6,"YES","NO")</f>
        <v>YES</v>
      </c>
      <c r="O6" s="2" t="str">
        <f>IF(C6=G6,"YES","NO")</f>
        <v>YES</v>
      </c>
      <c r="P6" s="2">
        <v>196.5</v>
      </c>
      <c r="Q6" s="2">
        <v>1.82</v>
      </c>
      <c r="R6" s="2">
        <v>1.81</v>
      </c>
      <c r="S6" s="10">
        <f>1000/P6</f>
        <v>5.0890585241730282</v>
      </c>
      <c r="T6" s="10">
        <f>36-S6</f>
        <v>30.910941475826974</v>
      </c>
      <c r="U6" s="10" t="s">
        <v>162</v>
      </c>
      <c r="V6" s="10" t="s">
        <v>162</v>
      </c>
      <c r="W6" s="10" t="s">
        <v>162</v>
      </c>
      <c r="X6" s="39">
        <v>0</v>
      </c>
      <c r="Y6" s="39">
        <v>0</v>
      </c>
      <c r="Z6" s="39">
        <v>0</v>
      </c>
      <c r="AA6" s="39">
        <v>0</v>
      </c>
      <c r="AB6" s="2">
        <v>0</v>
      </c>
      <c r="AC6" s="2">
        <v>0</v>
      </c>
    </row>
    <row r="7" spans="1:29" x14ac:dyDescent="0.2">
      <c r="A7" s="2" t="s">
        <v>10</v>
      </c>
      <c r="B7" s="2">
        <v>6</v>
      </c>
      <c r="C7" s="2" t="s">
        <v>325</v>
      </c>
      <c r="D7" s="2" t="s">
        <v>367</v>
      </c>
      <c r="E7" s="2" t="s">
        <v>363</v>
      </c>
      <c r="F7" s="2" t="s">
        <v>203</v>
      </c>
      <c r="G7" s="2" t="s">
        <v>325</v>
      </c>
      <c r="H7" s="2" t="s">
        <v>203</v>
      </c>
      <c r="I7" s="2" t="str">
        <f>IF(F7=H7,"YES","NO")</f>
        <v>YES</v>
      </c>
      <c r="J7" s="2" t="s">
        <v>318</v>
      </c>
      <c r="K7" s="2" t="s">
        <v>367</v>
      </c>
      <c r="L7" s="2" t="s">
        <v>363</v>
      </c>
      <c r="M7" s="2" t="str">
        <f>IF(E7=L7,"YES","NO")</f>
        <v>YES</v>
      </c>
      <c r="N7" s="2" t="str">
        <f>IF(D7=K7,"YES","NO")</f>
        <v>YES</v>
      </c>
      <c r="O7" s="2" t="str">
        <f>IF(C7=G7,"YES","NO")</f>
        <v>YES</v>
      </c>
      <c r="P7" s="2">
        <v>120</v>
      </c>
      <c r="Q7" s="2">
        <v>1.85</v>
      </c>
      <c r="R7" s="2">
        <v>2.0499999999999998</v>
      </c>
      <c r="S7" s="10">
        <f>1000/P7</f>
        <v>8.3333333333333339</v>
      </c>
      <c r="T7" s="10">
        <f>36-S7</f>
        <v>27.666666666666664</v>
      </c>
      <c r="U7" s="10" t="s">
        <v>162</v>
      </c>
      <c r="V7" s="10" t="s">
        <v>162</v>
      </c>
      <c r="W7" s="10" t="s">
        <v>162</v>
      </c>
      <c r="X7" s="39">
        <v>0</v>
      </c>
      <c r="Y7" s="39">
        <v>0</v>
      </c>
      <c r="Z7" s="39">
        <v>0</v>
      </c>
      <c r="AA7" s="39">
        <v>0</v>
      </c>
      <c r="AB7" s="2">
        <v>0</v>
      </c>
      <c r="AC7" s="2">
        <v>0</v>
      </c>
    </row>
    <row r="8" spans="1:29" x14ac:dyDescent="0.2">
      <c r="A8" s="2" t="s">
        <v>11</v>
      </c>
      <c r="B8" s="2">
        <v>7</v>
      </c>
      <c r="C8" s="2" t="s">
        <v>324</v>
      </c>
      <c r="D8" s="2" t="s">
        <v>365</v>
      </c>
      <c r="E8" s="2" t="s">
        <v>361</v>
      </c>
      <c r="F8" s="2" t="s">
        <v>204</v>
      </c>
      <c r="G8" s="2" t="s">
        <v>324</v>
      </c>
      <c r="H8" s="2" t="s">
        <v>204</v>
      </c>
      <c r="I8" s="2" t="str">
        <f>IF(F8=H8,"YES","NO")</f>
        <v>YES</v>
      </c>
      <c r="J8" s="2" t="s">
        <v>318</v>
      </c>
      <c r="K8" s="2" t="s">
        <v>365</v>
      </c>
      <c r="L8" s="2" t="s">
        <v>361</v>
      </c>
      <c r="M8" s="2" t="str">
        <f>IF(E8=L8,"YES","NO")</f>
        <v>YES</v>
      </c>
      <c r="N8" s="2" t="str">
        <f>IF(D8=K8,"YES","NO")</f>
        <v>YES</v>
      </c>
      <c r="O8" s="2" t="str">
        <f>IF(C8=G8,"YES","NO")</f>
        <v>YES</v>
      </c>
      <c r="P8" s="2">
        <v>203.9</v>
      </c>
      <c r="Q8" s="2">
        <v>1.84</v>
      </c>
      <c r="R8" s="2">
        <v>2.0299999999999998</v>
      </c>
      <c r="S8" s="10">
        <f>1000/P8</f>
        <v>4.9043648847474248</v>
      </c>
      <c r="T8" s="10">
        <f>36-S8</f>
        <v>31.095635115252577</v>
      </c>
      <c r="U8" s="17" t="s">
        <v>162</v>
      </c>
      <c r="V8" s="17" t="s">
        <v>162</v>
      </c>
      <c r="W8" s="17">
        <v>36.773193359375</v>
      </c>
      <c r="X8" s="32" t="s">
        <v>192</v>
      </c>
      <c r="Y8" s="31" t="s">
        <v>192</v>
      </c>
      <c r="Z8" s="33">
        <f>1/W8</f>
        <v>2.7193722074318E-2</v>
      </c>
      <c r="AA8" s="33">
        <f>AVERAGE(X8:Z8)</f>
        <v>2.7193722074318E-2</v>
      </c>
      <c r="AB8" s="2">
        <v>253</v>
      </c>
      <c r="AC8" s="2">
        <v>2.0753230483244152</v>
      </c>
    </row>
    <row r="9" spans="1:29" x14ac:dyDescent="0.2">
      <c r="A9" s="2" t="s">
        <v>12</v>
      </c>
      <c r="B9" s="2">
        <v>8</v>
      </c>
      <c r="C9" s="2" t="s">
        <v>325</v>
      </c>
      <c r="D9" s="2" t="s">
        <v>366</v>
      </c>
      <c r="E9" s="2" t="s">
        <v>362</v>
      </c>
      <c r="F9" s="2" t="s">
        <v>205</v>
      </c>
      <c r="G9" s="2" t="s">
        <v>325</v>
      </c>
      <c r="H9" s="2" t="s">
        <v>205</v>
      </c>
      <c r="I9" s="2" t="str">
        <f>IF(F9=H9,"YES","NO")</f>
        <v>YES</v>
      </c>
      <c r="J9" s="2" t="s">
        <v>318</v>
      </c>
      <c r="K9" s="2" t="s">
        <v>366</v>
      </c>
      <c r="L9" s="2" t="s">
        <v>362</v>
      </c>
      <c r="M9" s="2" t="str">
        <f>IF(E9=L9,"YES","NO")</f>
        <v>YES</v>
      </c>
      <c r="N9" s="2" t="str">
        <f>IF(D9=K9,"YES","NO")</f>
        <v>YES</v>
      </c>
      <c r="O9" s="2" t="str">
        <f>IF(C9=G9,"YES","NO")</f>
        <v>YES</v>
      </c>
      <c r="P9" s="2">
        <v>135</v>
      </c>
      <c r="Q9" s="2">
        <v>1.85</v>
      </c>
      <c r="R9" s="2">
        <v>1.89</v>
      </c>
      <c r="S9" s="10">
        <f>1000/P9</f>
        <v>7.4074074074074074</v>
      </c>
      <c r="T9" s="10">
        <f>36-S9</f>
        <v>28.592592592592592</v>
      </c>
      <c r="U9" s="10" t="s">
        <v>162</v>
      </c>
      <c r="V9" s="10" t="s">
        <v>162</v>
      </c>
      <c r="W9" s="10" t="s">
        <v>162</v>
      </c>
      <c r="X9" s="39">
        <v>0</v>
      </c>
      <c r="Y9" s="39">
        <v>0</v>
      </c>
      <c r="Z9" s="39">
        <v>0</v>
      </c>
      <c r="AA9" s="35">
        <v>0</v>
      </c>
      <c r="AB9" s="2">
        <v>0</v>
      </c>
      <c r="AC9" s="2">
        <v>0</v>
      </c>
    </row>
    <row r="10" spans="1:29" x14ac:dyDescent="0.2">
      <c r="A10" s="2" t="s">
        <v>13</v>
      </c>
      <c r="B10" s="2">
        <v>9</v>
      </c>
      <c r="C10" s="2" t="s">
        <v>323</v>
      </c>
      <c r="D10" s="2" t="s">
        <v>367</v>
      </c>
      <c r="E10" s="2" t="s">
        <v>363</v>
      </c>
      <c r="F10" s="2" t="s">
        <v>206</v>
      </c>
      <c r="G10" s="2" t="s">
        <v>323</v>
      </c>
      <c r="H10" s="2" t="s">
        <v>206</v>
      </c>
      <c r="I10" s="2" t="str">
        <f>IF(F10=H10,"YES","NO")</f>
        <v>YES</v>
      </c>
      <c r="J10" s="2" t="s">
        <v>318</v>
      </c>
      <c r="K10" s="2" t="s">
        <v>367</v>
      </c>
      <c r="L10" s="2" t="s">
        <v>363</v>
      </c>
      <c r="M10" s="2" t="str">
        <f>IF(E10=L10,"YES","NO")</f>
        <v>YES</v>
      </c>
      <c r="N10" s="2" t="str">
        <f>IF(D10=K10,"YES","NO")</f>
        <v>YES</v>
      </c>
      <c r="O10" s="2" t="str">
        <f>IF(C10=G10,"YES","NO")</f>
        <v>YES</v>
      </c>
      <c r="P10" s="2">
        <v>156.30000000000001</v>
      </c>
      <c r="Q10" s="2">
        <v>1.87</v>
      </c>
      <c r="R10" s="2">
        <v>1.91</v>
      </c>
      <c r="S10" s="10">
        <f>1000/P10</f>
        <v>6.3979526551503518</v>
      </c>
      <c r="T10" s="10">
        <f>36-S10</f>
        <v>29.602047344849648</v>
      </c>
      <c r="U10" s="10">
        <v>33.767520904541016</v>
      </c>
      <c r="V10" s="10">
        <v>33.227481842041016</v>
      </c>
      <c r="W10" s="10">
        <v>32.626880645751953</v>
      </c>
      <c r="X10" s="34">
        <f>1/U10</f>
        <v>2.9614255746726173E-2</v>
      </c>
      <c r="Y10" s="34">
        <f>1/V10</f>
        <v>3.0095569828428939E-2</v>
      </c>
      <c r="Z10" s="36">
        <f>1/W10</f>
        <v>3.0649574222480897E-2</v>
      </c>
      <c r="AA10" s="36">
        <f>AVERAGE(X10:Z10)</f>
        <v>3.0119799932545335E-2</v>
      </c>
      <c r="AB10" s="2">
        <v>1027</v>
      </c>
      <c r="AC10" s="2">
        <v>8.5600893653312298</v>
      </c>
    </row>
    <row r="11" spans="1:29" x14ac:dyDescent="0.2">
      <c r="A11" s="2" t="s">
        <v>14</v>
      </c>
      <c r="B11" s="2">
        <v>10</v>
      </c>
      <c r="C11" s="2" t="s">
        <v>326</v>
      </c>
      <c r="D11" s="2" t="s">
        <v>365</v>
      </c>
      <c r="E11" s="2" t="s">
        <v>361</v>
      </c>
      <c r="F11" s="2" t="s">
        <v>207</v>
      </c>
      <c r="G11" s="2" t="s">
        <v>326</v>
      </c>
      <c r="H11" s="2" t="s">
        <v>207</v>
      </c>
      <c r="I11" s="2" t="str">
        <f>IF(F11=H11,"YES","NO")</f>
        <v>YES</v>
      </c>
      <c r="J11" s="2" t="s">
        <v>318</v>
      </c>
      <c r="K11" s="2" t="s">
        <v>365</v>
      </c>
      <c r="L11" s="2" t="s">
        <v>361</v>
      </c>
      <c r="M11" s="2" t="str">
        <f>IF(E11=L11,"YES","NO")</f>
        <v>YES</v>
      </c>
      <c r="N11" s="2" t="str">
        <f>IF(D11=K11,"YES","NO")</f>
        <v>YES</v>
      </c>
      <c r="O11" s="2" t="str">
        <f>IF(C11=G11,"YES","NO")</f>
        <v>YES</v>
      </c>
      <c r="P11" s="2">
        <v>149.19999999999999</v>
      </c>
      <c r="Q11" s="2">
        <v>1.91</v>
      </c>
      <c r="R11" s="2">
        <v>1.93</v>
      </c>
      <c r="S11" s="10">
        <f>1000/P11</f>
        <v>6.7024128686327087</v>
      </c>
      <c r="T11" s="10">
        <f>36-S11</f>
        <v>29.29758713136729</v>
      </c>
      <c r="U11" s="10">
        <v>35.509292602539062</v>
      </c>
      <c r="V11" s="10">
        <v>32.763877868652344</v>
      </c>
      <c r="W11" s="10">
        <v>33.889446258544922</v>
      </c>
      <c r="X11" s="34">
        <f>1/U11</f>
        <v>2.8161642395785034E-2</v>
      </c>
      <c r="Y11" s="34">
        <f>1/V11</f>
        <v>3.0521417641981106E-2</v>
      </c>
      <c r="Z11" s="36">
        <f>1/W11</f>
        <v>2.9507711408765167E-2</v>
      </c>
      <c r="AA11" s="36">
        <f>AVERAGE(X11:Z11)</f>
        <v>2.9396923815510439E-2</v>
      </c>
      <c r="AB11" s="2">
        <v>62</v>
      </c>
      <c r="AC11" s="2">
        <v>0.59451045517086831</v>
      </c>
    </row>
    <row r="12" spans="1:29" x14ac:dyDescent="0.2">
      <c r="A12" s="2" t="s">
        <v>15</v>
      </c>
      <c r="B12" s="2">
        <v>11</v>
      </c>
      <c r="C12" s="2" t="s">
        <v>326</v>
      </c>
      <c r="D12" s="2" t="s">
        <v>366</v>
      </c>
      <c r="E12" s="2" t="s">
        <v>362</v>
      </c>
      <c r="F12" s="2" t="s">
        <v>208</v>
      </c>
      <c r="G12" s="2" t="s">
        <v>326</v>
      </c>
      <c r="H12" s="2" t="s">
        <v>208</v>
      </c>
      <c r="I12" s="2" t="str">
        <f>IF(F12=H12,"YES","NO")</f>
        <v>YES</v>
      </c>
      <c r="J12" s="2" t="s">
        <v>318</v>
      </c>
      <c r="K12" s="2" t="s">
        <v>366</v>
      </c>
      <c r="L12" s="2" t="s">
        <v>362</v>
      </c>
      <c r="M12" s="2" t="str">
        <f>IF(E12=L12,"YES","NO")</f>
        <v>YES</v>
      </c>
      <c r="N12" s="2" t="str">
        <f>IF(D12=K12,"YES","NO")</f>
        <v>YES</v>
      </c>
      <c r="O12" s="2" t="str">
        <f>IF(C12=G12,"YES","NO")</f>
        <v>YES</v>
      </c>
      <c r="P12" s="2">
        <v>207</v>
      </c>
      <c r="Q12" s="2">
        <v>1.88</v>
      </c>
      <c r="R12" s="2">
        <v>2.12</v>
      </c>
      <c r="S12" s="10">
        <f>1000/P12</f>
        <v>4.8309178743961354</v>
      </c>
      <c r="T12" s="10">
        <f>36-S12</f>
        <v>31.169082125603865</v>
      </c>
      <c r="U12" s="10">
        <v>30.882598876953125</v>
      </c>
      <c r="V12" s="10">
        <v>32.67108154296875</v>
      </c>
      <c r="W12" s="10">
        <v>33.581161499023438</v>
      </c>
      <c r="X12" s="34">
        <f>1/U12</f>
        <v>3.2380694512930831E-2</v>
      </c>
      <c r="Y12" s="34">
        <f>1/V12</f>
        <v>3.0608108234335855E-2</v>
      </c>
      <c r="Z12" s="36">
        <f>1/W12</f>
        <v>2.9778600720200839E-2</v>
      </c>
      <c r="AA12" s="36">
        <f>AVERAGE(X12:Z12)</f>
        <v>3.092246782248918E-2</v>
      </c>
      <c r="AB12" s="2">
        <v>1808</v>
      </c>
      <c r="AC12" s="2">
        <v>13.209398529323691</v>
      </c>
    </row>
    <row r="13" spans="1:29" x14ac:dyDescent="0.2">
      <c r="A13" s="2" t="s">
        <v>16</v>
      </c>
      <c r="B13" s="2">
        <v>12</v>
      </c>
      <c r="C13" s="2" t="s">
        <v>326</v>
      </c>
      <c r="D13" s="2" t="s">
        <v>367</v>
      </c>
      <c r="E13" s="2" t="s">
        <v>363</v>
      </c>
      <c r="F13" s="2" t="s">
        <v>209</v>
      </c>
      <c r="G13" s="2" t="s">
        <v>326</v>
      </c>
      <c r="H13" s="2" t="s">
        <v>209</v>
      </c>
      <c r="I13" s="2" t="str">
        <f>IF(F13=H13,"YES","NO")</f>
        <v>YES</v>
      </c>
      <c r="J13" s="2" t="s">
        <v>318</v>
      </c>
      <c r="K13" s="2" t="s">
        <v>367</v>
      </c>
      <c r="L13" s="2" t="s">
        <v>363</v>
      </c>
      <c r="M13" s="2" t="str">
        <f>IF(E13=L13,"YES","NO")</f>
        <v>YES</v>
      </c>
      <c r="N13" s="2" t="str">
        <f>IF(D13=K13,"YES","NO")</f>
        <v>YES</v>
      </c>
      <c r="O13" s="2" t="str">
        <f>IF(C13=G13,"YES","NO")</f>
        <v>YES</v>
      </c>
      <c r="P13" s="2">
        <v>48.85</v>
      </c>
      <c r="Q13" s="2">
        <v>1.94</v>
      </c>
      <c r="R13" s="2">
        <v>1.91</v>
      </c>
      <c r="S13" s="10">
        <f>1000/P13</f>
        <v>20.470829068577277</v>
      </c>
      <c r="T13" s="10">
        <f>36-S13</f>
        <v>15.529170931422723</v>
      </c>
      <c r="U13" s="10">
        <v>33.352001190185547</v>
      </c>
      <c r="V13" s="10">
        <v>35.784538269042969</v>
      </c>
      <c r="W13" s="10">
        <v>35.215595245361328</v>
      </c>
      <c r="X13" s="34">
        <f>1/U13</f>
        <v>2.9983208332766215E-2</v>
      </c>
      <c r="Y13" s="34">
        <f>1/V13</f>
        <v>2.7945030126743181E-2</v>
      </c>
      <c r="Z13" s="36">
        <f>1/W13</f>
        <v>2.8396509927848573E-2</v>
      </c>
      <c r="AA13" s="36">
        <f>AVERAGE(X13:Z13)</f>
        <v>2.8774916129119324E-2</v>
      </c>
      <c r="AB13" s="2">
        <v>334</v>
      </c>
      <c r="AC13" s="2">
        <v>2.6837562939378081</v>
      </c>
    </row>
    <row r="14" spans="1:29" x14ac:dyDescent="0.2">
      <c r="A14" s="2" t="s">
        <v>17</v>
      </c>
      <c r="B14" s="2">
        <v>13</v>
      </c>
      <c r="C14" s="2" t="s">
        <v>327</v>
      </c>
      <c r="D14" s="2" t="s">
        <v>366</v>
      </c>
      <c r="E14" s="2" t="s">
        <v>362</v>
      </c>
      <c r="F14" s="2" t="s">
        <v>210</v>
      </c>
      <c r="G14" s="2" t="s">
        <v>327</v>
      </c>
      <c r="H14" s="37" t="s">
        <v>210</v>
      </c>
      <c r="I14" s="2" t="str">
        <f>IF(F14=H14,"YES","NO")</f>
        <v>YES</v>
      </c>
      <c r="J14" s="2" t="s">
        <v>318</v>
      </c>
      <c r="K14" s="2" t="s">
        <v>366</v>
      </c>
      <c r="L14" s="2" t="s">
        <v>362</v>
      </c>
      <c r="M14" s="2" t="str">
        <f>IF(E14=L14,"YES","NO")</f>
        <v>YES</v>
      </c>
      <c r="N14" s="2" t="str">
        <f>IF(D14=K14,"YES","NO")</f>
        <v>YES</v>
      </c>
      <c r="O14" s="2" t="str">
        <f>IF(C14=G14,"YES","NO")</f>
        <v>YES</v>
      </c>
      <c r="P14" s="2">
        <v>181.5</v>
      </c>
      <c r="Q14" s="2">
        <v>1.87</v>
      </c>
      <c r="R14" s="2">
        <v>1.94</v>
      </c>
      <c r="S14" s="10">
        <f>1000/P14</f>
        <v>5.5096418732782366</v>
      </c>
      <c r="T14" s="10">
        <f>36-S14</f>
        <v>30.490358126721762</v>
      </c>
      <c r="U14" s="10">
        <v>32.889743804931641</v>
      </c>
      <c r="V14" s="10">
        <v>33.273532867431641</v>
      </c>
      <c r="W14" s="10">
        <v>33.004299163818359</v>
      </c>
      <c r="X14" s="34">
        <f>1/U14</f>
        <v>3.0404615065747497E-2</v>
      </c>
      <c r="Y14" s="34">
        <f>1/V14</f>
        <v>3.0053917147427611E-2</v>
      </c>
      <c r="Z14" s="36">
        <f>1/W14</f>
        <v>3.0299083008442442E-2</v>
      </c>
      <c r="AA14" s="36">
        <f>AVERAGE(X14:Z14)</f>
        <v>3.0252538407205851E-2</v>
      </c>
      <c r="AB14" s="2">
        <v>3102</v>
      </c>
      <c r="AC14" s="2">
        <v>23.235904392161309</v>
      </c>
    </row>
    <row r="15" spans="1:29" x14ac:dyDescent="0.2">
      <c r="A15" s="2" t="s">
        <v>18</v>
      </c>
      <c r="B15" s="2">
        <v>14</v>
      </c>
      <c r="C15" s="2" t="s">
        <v>328</v>
      </c>
      <c r="D15" s="2" t="s">
        <v>366</v>
      </c>
      <c r="E15" s="2" t="s">
        <v>362</v>
      </c>
      <c r="F15" s="2" t="s">
        <v>211</v>
      </c>
      <c r="G15" s="2" t="s">
        <v>328</v>
      </c>
      <c r="H15" s="2" t="s">
        <v>211</v>
      </c>
      <c r="I15" s="2" t="str">
        <f>IF(F15=H15,"YES","NO")</f>
        <v>YES</v>
      </c>
      <c r="J15" s="2" t="s">
        <v>318</v>
      </c>
      <c r="K15" s="2" t="s">
        <v>366</v>
      </c>
      <c r="L15" s="2" t="s">
        <v>362</v>
      </c>
      <c r="M15" s="2" t="str">
        <f>IF(E15=L15,"YES","NO")</f>
        <v>YES</v>
      </c>
      <c r="N15" s="2" t="str">
        <f>IF(D15=K15,"YES","NO")</f>
        <v>YES</v>
      </c>
      <c r="O15" s="2" t="str">
        <f>IF(C15=G15,"YES","NO")</f>
        <v>YES</v>
      </c>
      <c r="P15" s="2">
        <v>296.2</v>
      </c>
      <c r="Q15" s="2">
        <v>1.9</v>
      </c>
      <c r="R15" s="2">
        <v>2.06</v>
      </c>
      <c r="S15" s="10">
        <f>1000/P15</f>
        <v>3.3760972316002702</v>
      </c>
      <c r="T15" s="10">
        <f>36-S15</f>
        <v>32.623902768399731</v>
      </c>
      <c r="U15" s="10" t="s">
        <v>162</v>
      </c>
      <c r="V15" s="10" t="s">
        <v>162</v>
      </c>
      <c r="W15" s="10" t="s">
        <v>162</v>
      </c>
      <c r="X15" s="39">
        <v>0</v>
      </c>
      <c r="Y15" s="39">
        <v>0</v>
      </c>
      <c r="Z15" s="39">
        <v>0</v>
      </c>
      <c r="AA15" s="39">
        <v>0</v>
      </c>
      <c r="AB15" s="2">
        <v>0</v>
      </c>
      <c r="AC15" s="2">
        <v>0</v>
      </c>
    </row>
    <row r="16" spans="1:29" x14ac:dyDescent="0.2">
      <c r="A16" s="2" t="s">
        <v>19</v>
      </c>
      <c r="B16" s="2">
        <v>15</v>
      </c>
      <c r="C16" s="2" t="s">
        <v>329</v>
      </c>
      <c r="D16" s="2" t="s">
        <v>367</v>
      </c>
      <c r="E16" s="2" t="s">
        <v>363</v>
      </c>
      <c r="F16" s="2" t="s">
        <v>212</v>
      </c>
      <c r="G16" s="2" t="s">
        <v>329</v>
      </c>
      <c r="H16" s="2" t="s">
        <v>212</v>
      </c>
      <c r="I16" s="2" t="str">
        <f>IF(F16=H16,"YES","NO")</f>
        <v>YES</v>
      </c>
      <c r="J16" s="2" t="s">
        <v>318</v>
      </c>
      <c r="K16" s="2" t="s">
        <v>367</v>
      </c>
      <c r="L16" s="2" t="s">
        <v>363</v>
      </c>
      <c r="M16" s="2" t="str">
        <f>IF(E16=L16,"YES","NO")</f>
        <v>YES</v>
      </c>
      <c r="N16" s="2" t="str">
        <f>IF(D16=K16,"YES","NO")</f>
        <v>YES</v>
      </c>
      <c r="O16" s="2" t="str">
        <f>IF(C16=G16,"YES","NO")</f>
        <v>YES</v>
      </c>
      <c r="P16" s="2">
        <v>218.8</v>
      </c>
      <c r="Q16" s="2">
        <v>1.9</v>
      </c>
      <c r="R16" s="2">
        <v>2.0099999999999998</v>
      </c>
      <c r="S16" s="10">
        <f>1000/P16</f>
        <v>4.5703839122486283</v>
      </c>
      <c r="T16" s="10">
        <f>36-S16</f>
        <v>31.42961608775137</v>
      </c>
      <c r="U16" s="10">
        <v>33.736881256103516</v>
      </c>
      <c r="V16" s="10">
        <v>34.203704833984375</v>
      </c>
      <c r="W16" s="10">
        <v>34.843673706054688</v>
      </c>
      <c r="X16" s="34">
        <f>1/U16</f>
        <v>2.9641151249541916E-2</v>
      </c>
      <c r="Y16" s="34">
        <f>1/V16</f>
        <v>2.9236598925576403E-2</v>
      </c>
      <c r="Z16" s="36">
        <f>1/W16</f>
        <v>2.8699614410240354E-2</v>
      </c>
      <c r="AA16" s="36">
        <f>AVERAGE(X16:Z16)</f>
        <v>2.9192454861786222E-2</v>
      </c>
      <c r="AB16" s="2">
        <v>375</v>
      </c>
      <c r="AC16" s="2">
        <v>2.687351060998866</v>
      </c>
    </row>
    <row r="17" spans="1:29" x14ac:dyDescent="0.2">
      <c r="A17" s="2" t="s">
        <v>20</v>
      </c>
      <c r="B17" s="2">
        <v>16</v>
      </c>
      <c r="C17" s="2" t="s">
        <v>329</v>
      </c>
      <c r="D17" s="2" t="s">
        <v>366</v>
      </c>
      <c r="E17" s="2" t="s">
        <v>362</v>
      </c>
      <c r="F17" s="2" t="s">
        <v>213</v>
      </c>
      <c r="G17" s="2" t="s">
        <v>329</v>
      </c>
      <c r="H17" s="2" t="s">
        <v>213</v>
      </c>
      <c r="I17" s="2" t="str">
        <f>IF(F17=H17,"YES","NO")</f>
        <v>YES</v>
      </c>
      <c r="J17" s="2" t="s">
        <v>318</v>
      </c>
      <c r="K17" s="2" t="s">
        <v>366</v>
      </c>
      <c r="L17" s="2" t="s">
        <v>362</v>
      </c>
      <c r="M17" s="2" t="str">
        <f>IF(E17=L17,"YES","NO")</f>
        <v>YES</v>
      </c>
      <c r="N17" s="2" t="str">
        <f>IF(D17=K17,"YES","NO")</f>
        <v>YES</v>
      </c>
      <c r="O17" s="2" t="str">
        <f>IF(C17=G17,"YES","NO")</f>
        <v>YES</v>
      </c>
      <c r="P17" s="2">
        <v>211.9</v>
      </c>
      <c r="Q17" s="2">
        <v>1.9</v>
      </c>
      <c r="R17" s="2">
        <v>1.91</v>
      </c>
      <c r="S17" s="10">
        <f>1000/P17</f>
        <v>4.7192071731949028</v>
      </c>
      <c r="T17" s="10">
        <f>36-S17</f>
        <v>31.280792826805097</v>
      </c>
      <c r="U17" s="17">
        <v>34.457611083984375</v>
      </c>
      <c r="V17" s="17">
        <v>35.824928283691406</v>
      </c>
      <c r="W17" s="17" t="s">
        <v>162</v>
      </c>
      <c r="X17" s="31">
        <f>1/U17</f>
        <v>2.902116451319494E-2</v>
      </c>
      <c r="Y17" s="31">
        <f>1/V17</f>
        <v>2.7913524127143343E-2</v>
      </c>
      <c r="Z17" s="33" t="s">
        <v>192</v>
      </c>
      <c r="AA17" s="33">
        <f>AVERAGE(X17:Z17)</f>
        <v>2.846734432016914E-2</v>
      </c>
      <c r="AB17" s="2">
        <v>0</v>
      </c>
      <c r="AC17" s="2">
        <v>0</v>
      </c>
    </row>
    <row r="18" spans="1:29" x14ac:dyDescent="0.2">
      <c r="A18" s="2" t="s">
        <v>21</v>
      </c>
      <c r="B18" s="2">
        <v>17</v>
      </c>
      <c r="C18" s="2" t="s">
        <v>330</v>
      </c>
      <c r="D18" s="2" t="s">
        <v>365</v>
      </c>
      <c r="E18" s="2" t="s">
        <v>361</v>
      </c>
      <c r="F18" s="2" t="s">
        <v>214</v>
      </c>
      <c r="G18" s="2" t="s">
        <v>330</v>
      </c>
      <c r="H18" s="2" t="s">
        <v>214</v>
      </c>
      <c r="I18" s="2" t="str">
        <f>IF(F18=H18,"YES","NO")</f>
        <v>YES</v>
      </c>
      <c r="J18" s="2" t="s">
        <v>318</v>
      </c>
      <c r="K18" s="2" t="s">
        <v>365</v>
      </c>
      <c r="L18" s="2" t="s">
        <v>361</v>
      </c>
      <c r="M18" s="2" t="str">
        <f>IF(E18=L18,"YES","NO")</f>
        <v>YES</v>
      </c>
      <c r="N18" s="2" t="str">
        <f>IF(D18=K18,"YES","NO")</f>
        <v>YES</v>
      </c>
      <c r="O18" s="2" t="str">
        <f>IF(C18=G18,"YES","NO")</f>
        <v>YES</v>
      </c>
      <c r="P18" s="2">
        <v>192</v>
      </c>
      <c r="Q18" s="2">
        <v>1.89</v>
      </c>
      <c r="R18" s="2">
        <v>1.89</v>
      </c>
      <c r="S18" s="10">
        <f>1000/P18</f>
        <v>5.208333333333333</v>
      </c>
      <c r="T18" s="10">
        <f>36-S18</f>
        <v>30.791666666666668</v>
      </c>
      <c r="U18" s="10" t="s">
        <v>162</v>
      </c>
      <c r="V18" s="10" t="s">
        <v>162</v>
      </c>
      <c r="W18" s="10" t="s">
        <v>162</v>
      </c>
      <c r="X18" s="39">
        <v>0</v>
      </c>
      <c r="Y18" s="39">
        <v>0</v>
      </c>
      <c r="Z18" s="39">
        <v>0</v>
      </c>
      <c r="AA18" s="39">
        <v>0</v>
      </c>
      <c r="AB18" s="2">
        <v>0</v>
      </c>
      <c r="AC18" s="2">
        <v>0</v>
      </c>
    </row>
    <row r="19" spans="1:29" x14ac:dyDescent="0.2">
      <c r="A19" s="2" t="s">
        <v>22</v>
      </c>
      <c r="B19" s="2">
        <v>18</v>
      </c>
      <c r="C19" s="2" t="s">
        <v>328</v>
      </c>
      <c r="D19" s="2" t="s">
        <v>365</v>
      </c>
      <c r="E19" s="2" t="s">
        <v>361</v>
      </c>
      <c r="F19" s="2" t="s">
        <v>215</v>
      </c>
      <c r="G19" s="2" t="s">
        <v>328</v>
      </c>
      <c r="H19" s="2" t="s">
        <v>215</v>
      </c>
      <c r="I19" s="2" t="str">
        <f>IF(F19=H19,"YES","NO")</f>
        <v>YES</v>
      </c>
      <c r="J19" s="2" t="s">
        <v>318</v>
      </c>
      <c r="K19" s="2" t="s">
        <v>365</v>
      </c>
      <c r="L19" s="2" t="s">
        <v>361</v>
      </c>
      <c r="M19" s="2" t="str">
        <f>IF(E19=L19,"YES","NO")</f>
        <v>YES</v>
      </c>
      <c r="N19" s="2" t="str">
        <f>IF(D19=K19,"YES","NO")</f>
        <v>YES</v>
      </c>
      <c r="O19" s="2" t="str">
        <f>IF(C19=G19,"YES","NO")</f>
        <v>YES</v>
      </c>
      <c r="P19" s="2">
        <v>92.54</v>
      </c>
      <c r="Q19" s="2">
        <v>2.06</v>
      </c>
      <c r="R19" s="2">
        <v>1.88</v>
      </c>
      <c r="S19" s="10">
        <f>1000/P19</f>
        <v>10.806137886319428</v>
      </c>
      <c r="T19" s="10">
        <f>36-S19</f>
        <v>25.193862113680574</v>
      </c>
      <c r="U19" s="10" t="s">
        <v>162</v>
      </c>
      <c r="V19" s="10" t="s">
        <v>162</v>
      </c>
      <c r="W19" s="10" t="s">
        <v>162</v>
      </c>
      <c r="X19" s="39">
        <v>0</v>
      </c>
      <c r="Y19" s="39">
        <v>0</v>
      </c>
      <c r="Z19" s="39">
        <v>0</v>
      </c>
      <c r="AA19" s="39">
        <v>0</v>
      </c>
      <c r="AB19" s="2">
        <v>0</v>
      </c>
      <c r="AC19" s="2">
        <v>0</v>
      </c>
    </row>
    <row r="20" spans="1:29" x14ac:dyDescent="0.2">
      <c r="A20" s="2" t="s">
        <v>23</v>
      </c>
      <c r="B20" s="2">
        <v>19</v>
      </c>
      <c r="C20" s="2" t="s">
        <v>330</v>
      </c>
      <c r="D20" s="2" t="s">
        <v>367</v>
      </c>
      <c r="E20" s="2" t="s">
        <v>363</v>
      </c>
      <c r="F20" s="2" t="s">
        <v>216</v>
      </c>
      <c r="G20" s="2" t="s">
        <v>330</v>
      </c>
      <c r="H20" s="2" t="s">
        <v>216</v>
      </c>
      <c r="I20" s="2" t="str">
        <f>IF(F20=H20,"YES","NO")</f>
        <v>YES</v>
      </c>
      <c r="J20" s="2" t="s">
        <v>318</v>
      </c>
      <c r="K20" s="2" t="s">
        <v>367</v>
      </c>
      <c r="L20" s="2" t="s">
        <v>363</v>
      </c>
      <c r="M20" s="2" t="str">
        <f>IF(E20=L20,"YES","NO")</f>
        <v>YES</v>
      </c>
      <c r="N20" s="2" t="str">
        <f>IF(D20=K20,"YES","NO")</f>
        <v>YES</v>
      </c>
      <c r="O20" s="2" t="str">
        <f>IF(C20=G20,"YES","NO")</f>
        <v>YES</v>
      </c>
      <c r="P20" s="2">
        <v>82.64</v>
      </c>
      <c r="Q20" s="2">
        <v>1.82</v>
      </c>
      <c r="R20" s="2">
        <v>1.98</v>
      </c>
      <c r="S20" s="10">
        <f>1000/P20</f>
        <v>12.100677637947724</v>
      </c>
      <c r="T20" s="10">
        <f>36-S20</f>
        <v>23.899322362052274</v>
      </c>
      <c r="U20" s="10" t="s">
        <v>162</v>
      </c>
      <c r="V20" s="10" t="s">
        <v>162</v>
      </c>
      <c r="W20" s="10" t="s">
        <v>162</v>
      </c>
      <c r="X20" s="39">
        <v>0</v>
      </c>
      <c r="Y20" s="39">
        <v>0</v>
      </c>
      <c r="Z20" s="39">
        <v>0</v>
      </c>
      <c r="AA20" s="39">
        <v>0</v>
      </c>
      <c r="AB20" s="2">
        <v>0</v>
      </c>
      <c r="AC20" s="2">
        <v>0</v>
      </c>
    </row>
    <row r="21" spans="1:29" x14ac:dyDescent="0.2">
      <c r="A21" s="2" t="s">
        <v>24</v>
      </c>
      <c r="B21" s="2">
        <v>20</v>
      </c>
      <c r="C21" s="2" t="s">
        <v>325</v>
      </c>
      <c r="D21" s="2" t="s">
        <v>365</v>
      </c>
      <c r="E21" s="2" t="s">
        <v>361</v>
      </c>
      <c r="F21" s="2" t="s">
        <v>217</v>
      </c>
      <c r="G21" s="2" t="s">
        <v>325</v>
      </c>
      <c r="H21" s="2" t="s">
        <v>217</v>
      </c>
      <c r="I21" s="2" t="str">
        <f>IF(F21=H21,"YES","NO")</f>
        <v>YES</v>
      </c>
      <c r="J21" s="2" t="s">
        <v>318</v>
      </c>
      <c r="K21" s="2" t="s">
        <v>365</v>
      </c>
      <c r="L21" s="2" t="s">
        <v>361</v>
      </c>
      <c r="M21" s="2" t="str">
        <f>IF(E21=L21,"YES","NO")</f>
        <v>YES</v>
      </c>
      <c r="N21" s="2" t="str">
        <f>IF(D21=K21,"YES","NO")</f>
        <v>YES</v>
      </c>
      <c r="O21" s="2" t="str">
        <f>IF(C21=G21,"YES","NO")</f>
        <v>YES</v>
      </c>
      <c r="P21" s="2">
        <v>242.8</v>
      </c>
      <c r="Q21" s="2">
        <v>1.86</v>
      </c>
      <c r="R21" s="2">
        <v>1.98</v>
      </c>
      <c r="S21" s="10">
        <f>1000/P21</f>
        <v>4.1186161449752881</v>
      </c>
      <c r="T21" s="10">
        <f>36-S21</f>
        <v>31.881383855024712</v>
      </c>
      <c r="U21" s="10" t="s">
        <v>162</v>
      </c>
      <c r="V21" s="10" t="s">
        <v>162</v>
      </c>
      <c r="W21" s="10" t="s">
        <v>162</v>
      </c>
      <c r="X21" s="39">
        <v>0</v>
      </c>
      <c r="Y21" s="39">
        <v>0</v>
      </c>
      <c r="Z21" s="39">
        <v>0</v>
      </c>
      <c r="AA21" s="39">
        <v>0</v>
      </c>
      <c r="AB21" s="2">
        <v>0</v>
      </c>
      <c r="AC21" s="2">
        <v>0</v>
      </c>
    </row>
    <row r="22" spans="1:29" x14ac:dyDescent="0.2">
      <c r="A22" s="2" t="s">
        <v>25</v>
      </c>
      <c r="B22" s="2">
        <v>21</v>
      </c>
      <c r="C22" s="2" t="s">
        <v>330</v>
      </c>
      <c r="D22" s="2" t="s">
        <v>366</v>
      </c>
      <c r="E22" s="2" t="s">
        <v>362</v>
      </c>
      <c r="F22" s="2" t="s">
        <v>218</v>
      </c>
      <c r="G22" s="2" t="s">
        <v>330</v>
      </c>
      <c r="H22" s="2" t="s">
        <v>218</v>
      </c>
      <c r="I22" s="2" t="str">
        <f>IF(F22=H22,"YES","NO")</f>
        <v>YES</v>
      </c>
      <c r="J22" s="2" t="s">
        <v>318</v>
      </c>
      <c r="K22" s="2" t="s">
        <v>366</v>
      </c>
      <c r="L22" s="2" t="s">
        <v>362</v>
      </c>
      <c r="M22" s="2" t="str">
        <f>IF(E22=L22,"YES","NO")</f>
        <v>YES</v>
      </c>
      <c r="N22" s="2" t="str">
        <f>IF(D22=K22,"YES","NO")</f>
        <v>YES</v>
      </c>
      <c r="O22" s="2" t="str">
        <f>IF(C22=G22,"YES","NO")</f>
        <v>YES</v>
      </c>
      <c r="P22" s="2">
        <v>73.2</v>
      </c>
      <c r="Q22" s="2">
        <v>1.94</v>
      </c>
      <c r="R22" s="2">
        <v>2.0699999999999998</v>
      </c>
      <c r="S22" s="10">
        <f>1000/P22</f>
        <v>13.66120218579235</v>
      </c>
      <c r="T22" s="10">
        <f>36-S22</f>
        <v>22.338797814207652</v>
      </c>
      <c r="U22" s="10" t="s">
        <v>162</v>
      </c>
      <c r="V22" s="10" t="s">
        <v>162</v>
      </c>
      <c r="W22" s="10" t="s">
        <v>162</v>
      </c>
      <c r="X22" s="39">
        <v>0</v>
      </c>
      <c r="Y22" s="39">
        <v>0</v>
      </c>
      <c r="Z22" s="39">
        <v>0</v>
      </c>
      <c r="AA22" s="39">
        <v>0</v>
      </c>
      <c r="AB22" s="2">
        <v>0</v>
      </c>
      <c r="AC22" s="2">
        <v>0</v>
      </c>
    </row>
    <row r="23" spans="1:29" x14ac:dyDescent="0.2">
      <c r="A23" s="2" t="s">
        <v>26</v>
      </c>
      <c r="B23" s="2">
        <v>22</v>
      </c>
      <c r="C23" s="2" t="s">
        <v>331</v>
      </c>
      <c r="D23" s="2" t="s">
        <v>366</v>
      </c>
      <c r="E23" s="2" t="s">
        <v>362</v>
      </c>
      <c r="F23" s="2" t="s">
        <v>219</v>
      </c>
      <c r="G23" s="2" t="s">
        <v>331</v>
      </c>
      <c r="H23" s="2" t="s">
        <v>219</v>
      </c>
      <c r="I23" s="2" t="str">
        <f>IF(F23=H23,"YES","NO")</f>
        <v>YES</v>
      </c>
      <c r="J23" s="2" t="s">
        <v>318</v>
      </c>
      <c r="K23" s="2" t="s">
        <v>366</v>
      </c>
      <c r="L23" s="2" t="s">
        <v>362</v>
      </c>
      <c r="M23" s="2" t="str">
        <f>IF(E23=L23,"YES","NO")</f>
        <v>YES</v>
      </c>
      <c r="N23" s="2" t="str">
        <f>IF(D23=K23,"YES","NO")</f>
        <v>YES</v>
      </c>
      <c r="O23" s="2" t="str">
        <f>IF(C23=G23,"YES","NO")</f>
        <v>YES</v>
      </c>
      <c r="P23" s="2">
        <v>260.8</v>
      </c>
      <c r="Q23" s="2">
        <v>1.9</v>
      </c>
      <c r="R23" s="2">
        <v>1.93</v>
      </c>
      <c r="S23" s="10">
        <f>1000/P23</f>
        <v>3.8343558282208585</v>
      </c>
      <c r="T23" s="10">
        <f>36-S23</f>
        <v>32.165644171779142</v>
      </c>
      <c r="U23" s="10">
        <v>34.230213165283203</v>
      </c>
      <c r="V23" s="10">
        <v>33.404506683349609</v>
      </c>
      <c r="W23" s="10">
        <v>33.624687194824219</v>
      </c>
      <c r="X23" s="34">
        <f>1/U23</f>
        <v>2.9213957715408415E-2</v>
      </c>
      <c r="Y23" s="34">
        <f>1/V23</f>
        <v>2.9936080466006324E-2</v>
      </c>
      <c r="Z23" s="36">
        <f>1/W23</f>
        <v>2.9740053616139753E-2</v>
      </c>
      <c r="AA23" s="36">
        <f>AVERAGE(X23:Z23)</f>
        <v>2.9630030599184832E-2</v>
      </c>
      <c r="AB23" s="2">
        <v>1694</v>
      </c>
      <c r="AC23" s="2">
        <v>12.18789606203709</v>
      </c>
    </row>
    <row r="24" spans="1:29" x14ac:dyDescent="0.2">
      <c r="A24" s="2" t="s">
        <v>27</v>
      </c>
      <c r="B24" s="2">
        <v>23</v>
      </c>
      <c r="C24" s="2" t="s">
        <v>331</v>
      </c>
      <c r="D24" s="2" t="s">
        <v>367</v>
      </c>
      <c r="E24" s="2" t="s">
        <v>363</v>
      </c>
      <c r="F24" s="2" t="s">
        <v>220</v>
      </c>
      <c r="G24" s="2" t="s">
        <v>331</v>
      </c>
      <c r="H24" s="2" t="s">
        <v>220</v>
      </c>
      <c r="I24" s="2" t="str">
        <f>IF(F24=H24,"YES","NO")</f>
        <v>YES</v>
      </c>
      <c r="J24" s="2" t="s">
        <v>318</v>
      </c>
      <c r="K24" s="2" t="s">
        <v>367</v>
      </c>
      <c r="L24" s="2" t="s">
        <v>363</v>
      </c>
      <c r="M24" s="2" t="str">
        <f>IF(E24=L24,"YES","NO")</f>
        <v>YES</v>
      </c>
      <c r="N24" s="2" t="str">
        <f>IF(D24=K24,"YES","NO")</f>
        <v>YES</v>
      </c>
      <c r="O24" s="2" t="str">
        <f>IF(C24=G24,"YES","NO")</f>
        <v>YES</v>
      </c>
      <c r="P24" s="2">
        <v>97.97</v>
      </c>
      <c r="Q24" s="2">
        <v>1.9</v>
      </c>
      <c r="R24" s="2">
        <v>2.0099999999999998</v>
      </c>
      <c r="S24" s="10">
        <f>1000/P24</f>
        <v>10.207206287639073</v>
      </c>
      <c r="T24" s="10">
        <f>36-S24</f>
        <v>25.792793712360925</v>
      </c>
      <c r="U24" s="17">
        <v>32.093410491943359</v>
      </c>
      <c r="V24" s="17">
        <v>35.737186431884766</v>
      </c>
      <c r="W24" s="17" t="s">
        <v>162</v>
      </c>
      <c r="X24" s="31">
        <f>1/U24</f>
        <v>3.1159044323165255E-2</v>
      </c>
      <c r="Y24" s="31">
        <f>1/V24</f>
        <v>2.798205734259479E-2</v>
      </c>
      <c r="Z24" s="33" t="s">
        <v>192</v>
      </c>
      <c r="AA24" s="33">
        <f>AVERAGE(X24:Z24)</f>
        <v>2.9570550832880023E-2</v>
      </c>
      <c r="AB24" s="2">
        <v>1696</v>
      </c>
      <c r="AC24" s="2">
        <v>12.514401418567161</v>
      </c>
    </row>
    <row r="25" spans="1:29" x14ac:dyDescent="0.2">
      <c r="A25" s="2" t="s">
        <v>28</v>
      </c>
      <c r="B25" s="2">
        <v>24</v>
      </c>
      <c r="C25" s="2" t="s">
        <v>331</v>
      </c>
      <c r="D25" s="2" t="s">
        <v>365</v>
      </c>
      <c r="E25" s="2" t="s">
        <v>361</v>
      </c>
      <c r="F25" s="2" t="s">
        <v>221</v>
      </c>
      <c r="G25" s="2" t="s">
        <v>331</v>
      </c>
      <c r="H25" s="2" t="s">
        <v>221</v>
      </c>
      <c r="I25" s="2" t="str">
        <f>IF(F25=H25,"YES","NO")</f>
        <v>YES</v>
      </c>
      <c r="J25" s="2" t="s">
        <v>318</v>
      </c>
      <c r="K25" s="2" t="s">
        <v>365</v>
      </c>
      <c r="L25" s="2" t="s">
        <v>361</v>
      </c>
      <c r="M25" s="2" t="str">
        <f>IF(E25=L25,"YES","NO")</f>
        <v>YES</v>
      </c>
      <c r="N25" s="2" t="str">
        <f>IF(D25=K25,"YES","NO")</f>
        <v>YES</v>
      </c>
      <c r="O25" s="2" t="str">
        <f>IF(C25=G25,"YES","NO")</f>
        <v>YES</v>
      </c>
      <c r="P25" s="2">
        <v>273.60000000000002</v>
      </c>
      <c r="Q25" s="2">
        <v>1.92</v>
      </c>
      <c r="R25" s="2">
        <v>2.12</v>
      </c>
      <c r="S25" s="10">
        <f>1000/P25</f>
        <v>3.6549707602339176</v>
      </c>
      <c r="T25" s="10">
        <f>36-S25</f>
        <v>32.345029239766085</v>
      </c>
      <c r="U25" s="10">
        <v>32.518585205078125</v>
      </c>
      <c r="V25" s="10">
        <v>33.623416900634766</v>
      </c>
      <c r="W25" s="10">
        <v>34.251373291015625</v>
      </c>
      <c r="X25" s="34">
        <f>1/U25</f>
        <v>3.0751645365058481E-2</v>
      </c>
      <c r="Y25" s="34">
        <f>1/V25</f>
        <v>2.9741177196691195E-2</v>
      </c>
      <c r="Z25" s="36">
        <f>1/W25</f>
        <v>2.9195909650206842E-2</v>
      </c>
      <c r="AA25" s="36">
        <f>AVERAGE(X25:Z25)</f>
        <v>2.9896244070652171E-2</v>
      </c>
      <c r="AB25" s="2">
        <v>1130</v>
      </c>
      <c r="AC25" s="2">
        <v>7.4978183048017346</v>
      </c>
    </row>
    <row r="26" spans="1:29" x14ac:dyDescent="0.2">
      <c r="A26" s="2" t="s">
        <v>29</v>
      </c>
      <c r="B26" s="2">
        <v>25</v>
      </c>
      <c r="C26" s="2" t="s">
        <v>321</v>
      </c>
      <c r="D26" s="2" t="s">
        <v>367</v>
      </c>
      <c r="E26" s="2" t="s">
        <v>363</v>
      </c>
      <c r="F26" s="2" t="s">
        <v>222</v>
      </c>
      <c r="G26" s="2" t="s">
        <v>321</v>
      </c>
      <c r="H26" s="2" t="s">
        <v>222</v>
      </c>
      <c r="I26" s="2" t="str">
        <f>IF(F26=H26,"YES","NO")</f>
        <v>YES</v>
      </c>
      <c r="J26" s="2" t="s">
        <v>318</v>
      </c>
      <c r="K26" s="2" t="s">
        <v>367</v>
      </c>
      <c r="L26" s="2" t="s">
        <v>363</v>
      </c>
      <c r="M26" s="2" t="str">
        <f>IF(E26=L26,"YES","NO")</f>
        <v>YES</v>
      </c>
      <c r="N26" s="2" t="str">
        <f>IF(D26=K26,"YES","NO")</f>
        <v>YES</v>
      </c>
      <c r="O26" s="2" t="str">
        <f>IF(C26=G26,"YES","NO")</f>
        <v>YES</v>
      </c>
      <c r="P26" s="2">
        <v>151</v>
      </c>
      <c r="Q26" s="2">
        <v>1.85</v>
      </c>
      <c r="R26" s="2">
        <v>1.78</v>
      </c>
      <c r="S26" s="10">
        <f>1000/P26</f>
        <v>6.6225165562913908</v>
      </c>
      <c r="T26" s="10">
        <f>36-S26</f>
        <v>29.377483443708609</v>
      </c>
      <c r="U26" s="10">
        <v>33.148040771484375</v>
      </c>
      <c r="V26" s="10">
        <v>34.214508056640625</v>
      </c>
      <c r="W26" s="10">
        <v>33.746269226074219</v>
      </c>
      <c r="X26" s="34">
        <f>1/U26</f>
        <v>3.0167695487458512E-2</v>
      </c>
      <c r="Y26" s="34">
        <f>1/V26</f>
        <v>2.9227367476526146E-2</v>
      </c>
      <c r="Z26" s="36">
        <f>1/W26</f>
        <v>2.9632905293938246E-2</v>
      </c>
      <c r="AA26" s="36">
        <f>AVERAGE(X26:Z26)</f>
        <v>2.9675989419307634E-2</v>
      </c>
      <c r="AB26" s="2">
        <v>10</v>
      </c>
      <c r="AC26" s="2">
        <v>7.2819436022080519E-2</v>
      </c>
    </row>
    <row r="27" spans="1:29" x14ac:dyDescent="0.2">
      <c r="A27" s="2" t="s">
        <v>30</v>
      </c>
      <c r="B27" s="2">
        <v>26</v>
      </c>
      <c r="C27" s="2" t="s">
        <v>332</v>
      </c>
      <c r="D27" s="2" t="s">
        <v>365</v>
      </c>
      <c r="E27" s="2" t="s">
        <v>361</v>
      </c>
      <c r="F27" s="2" t="s">
        <v>223</v>
      </c>
      <c r="G27" s="2" t="s">
        <v>332</v>
      </c>
      <c r="H27" s="2" t="s">
        <v>223</v>
      </c>
      <c r="I27" s="2" t="str">
        <f>IF(F27=H27,"YES","NO")</f>
        <v>YES</v>
      </c>
      <c r="J27" s="2" t="s">
        <v>318</v>
      </c>
      <c r="K27" s="2" t="s">
        <v>365</v>
      </c>
      <c r="L27" s="2" t="s">
        <v>361</v>
      </c>
      <c r="M27" s="2" t="str">
        <f>IF(E27=L27,"YES","NO")</f>
        <v>YES</v>
      </c>
      <c r="N27" s="2" t="str">
        <f>IF(D27=K27,"YES","NO")</f>
        <v>YES</v>
      </c>
      <c r="O27" s="2" t="str">
        <f>IF(C27=G27,"YES","NO")</f>
        <v>YES</v>
      </c>
      <c r="P27" s="2">
        <v>191.9</v>
      </c>
      <c r="Q27" s="2">
        <v>1.93</v>
      </c>
      <c r="R27" s="2">
        <v>2.21</v>
      </c>
      <c r="S27" s="10">
        <f>1000/P27</f>
        <v>5.2110474205315267</v>
      </c>
      <c r="T27" s="10">
        <f>36-S27</f>
        <v>30.788952579468472</v>
      </c>
      <c r="U27" s="10" t="s">
        <v>162</v>
      </c>
      <c r="V27" s="10" t="s">
        <v>162</v>
      </c>
      <c r="W27" s="10" t="s">
        <v>162</v>
      </c>
      <c r="X27" s="39">
        <v>0</v>
      </c>
      <c r="Y27" s="39">
        <v>0</v>
      </c>
      <c r="Z27" s="39">
        <v>0</v>
      </c>
      <c r="AA27" s="39">
        <v>0</v>
      </c>
      <c r="AB27" s="2">
        <v>0</v>
      </c>
      <c r="AC27" s="2">
        <v>0</v>
      </c>
    </row>
    <row r="28" spans="1:29" x14ac:dyDescent="0.2">
      <c r="A28" s="2" t="s">
        <v>31</v>
      </c>
      <c r="B28" s="2">
        <v>27</v>
      </c>
      <c r="C28" s="2" t="s">
        <v>333</v>
      </c>
      <c r="D28" s="2" t="s">
        <v>365</v>
      </c>
      <c r="E28" s="2" t="s">
        <v>361</v>
      </c>
      <c r="F28" s="2" t="s">
        <v>224</v>
      </c>
      <c r="G28" s="2" t="s">
        <v>333</v>
      </c>
      <c r="H28" s="2" t="s">
        <v>224</v>
      </c>
      <c r="I28" s="2" t="str">
        <f>IF(F28=H28,"YES","NO")</f>
        <v>YES</v>
      </c>
      <c r="J28" s="2" t="s">
        <v>318</v>
      </c>
      <c r="K28" s="2" t="s">
        <v>365</v>
      </c>
      <c r="L28" s="2" t="s">
        <v>361</v>
      </c>
      <c r="M28" s="2" t="str">
        <f>IF(E28=L28,"YES","NO")</f>
        <v>YES</v>
      </c>
      <c r="N28" s="2" t="str">
        <f>IF(D28=K28,"YES","NO")</f>
        <v>YES</v>
      </c>
      <c r="O28" s="2" t="str">
        <f>IF(C28=G28,"YES","NO")</f>
        <v>YES</v>
      </c>
      <c r="P28" s="2">
        <v>170</v>
      </c>
      <c r="Q28" s="2">
        <v>1.83</v>
      </c>
      <c r="R28" s="2">
        <v>1.77</v>
      </c>
      <c r="S28" s="10">
        <f>1000/P28</f>
        <v>5.882352941176471</v>
      </c>
      <c r="T28" s="10">
        <f>36-S28</f>
        <v>30.117647058823529</v>
      </c>
      <c r="U28" s="10">
        <v>31.378437042236328</v>
      </c>
      <c r="V28" s="10">
        <v>34.242061614990234</v>
      </c>
      <c r="W28" s="10">
        <v>32.865211486816406</v>
      </c>
      <c r="X28" s="34">
        <f>1/U28</f>
        <v>3.1869018799565114E-2</v>
      </c>
      <c r="Y28" s="34">
        <f>1/V28</f>
        <v>2.9203849091908284E-2</v>
      </c>
      <c r="Z28" s="36">
        <f>1/W28</f>
        <v>3.0427310665599741E-2</v>
      </c>
      <c r="AA28" s="36">
        <f>AVERAGE(X28:Z28)</f>
        <v>3.0500059519024379E-2</v>
      </c>
      <c r="AB28" s="2">
        <v>1812</v>
      </c>
      <c r="AC28" s="2">
        <v>11.44488423359455</v>
      </c>
    </row>
    <row r="29" spans="1:29" x14ac:dyDescent="0.2">
      <c r="A29" s="2" t="s">
        <v>32</v>
      </c>
      <c r="B29" s="2">
        <v>28</v>
      </c>
      <c r="C29" s="2" t="s">
        <v>324</v>
      </c>
      <c r="D29" s="2" t="s">
        <v>367</v>
      </c>
      <c r="E29" s="2" t="s">
        <v>363</v>
      </c>
      <c r="F29" s="2" t="s">
        <v>225</v>
      </c>
      <c r="G29" s="2" t="s">
        <v>324</v>
      </c>
      <c r="H29" s="2" t="s">
        <v>225</v>
      </c>
      <c r="I29" s="2" t="str">
        <f>IF(F29=H29,"YES","NO")</f>
        <v>YES</v>
      </c>
      <c r="J29" s="2" t="s">
        <v>318</v>
      </c>
      <c r="K29" s="2" t="s">
        <v>367</v>
      </c>
      <c r="L29" s="2" t="s">
        <v>363</v>
      </c>
      <c r="M29" s="2" t="str">
        <f>IF(E29=L29,"YES","NO")</f>
        <v>YES</v>
      </c>
      <c r="N29" s="2" t="str">
        <f>IF(D29=K29,"YES","NO")</f>
        <v>YES</v>
      </c>
      <c r="O29" s="2" t="str">
        <f>IF(C29=G29,"YES","NO")</f>
        <v>YES</v>
      </c>
      <c r="P29" s="2">
        <v>171.5</v>
      </c>
      <c r="Q29" s="2">
        <v>1.88</v>
      </c>
      <c r="R29" s="2">
        <v>1.92</v>
      </c>
      <c r="S29" s="10">
        <f>1000/P29</f>
        <v>5.8309037900874632</v>
      </c>
      <c r="T29" s="10">
        <f>36-S29</f>
        <v>30.169096209912539</v>
      </c>
      <c r="U29" s="17" t="s">
        <v>162</v>
      </c>
      <c r="V29" s="17" t="s">
        <v>162</v>
      </c>
      <c r="W29" s="17">
        <v>35.680606842041016</v>
      </c>
      <c r="X29" s="33" t="s">
        <v>192</v>
      </c>
      <c r="Y29" s="33" t="s">
        <v>192</v>
      </c>
      <c r="Z29" s="33">
        <f>1/W29</f>
        <v>2.8026429158759164E-2</v>
      </c>
      <c r="AA29" s="33">
        <f>AVERAGE(X29:Z29)</f>
        <v>2.8026429158759164E-2</v>
      </c>
      <c r="AB29" s="2">
        <v>0</v>
      </c>
      <c r="AC29" s="2">
        <v>0</v>
      </c>
    </row>
    <row r="30" spans="1:29" x14ac:dyDescent="0.2">
      <c r="A30" s="2" t="s">
        <v>33</v>
      </c>
      <c r="B30" s="2">
        <v>29</v>
      </c>
      <c r="C30" s="2" t="s">
        <v>334</v>
      </c>
      <c r="D30" s="2" t="s">
        <v>365</v>
      </c>
      <c r="E30" s="2" t="s">
        <v>361</v>
      </c>
      <c r="F30" s="2" t="s">
        <v>226</v>
      </c>
      <c r="G30" s="2" t="s">
        <v>334</v>
      </c>
      <c r="H30" s="2" t="s">
        <v>226</v>
      </c>
      <c r="I30" s="2" t="str">
        <f>IF(F30=H30,"YES","NO")</f>
        <v>YES</v>
      </c>
      <c r="J30" s="2" t="s">
        <v>318</v>
      </c>
      <c r="K30" s="2" t="s">
        <v>365</v>
      </c>
      <c r="L30" s="2" t="s">
        <v>361</v>
      </c>
      <c r="M30" s="2" t="str">
        <f>IF(E30=L30,"YES","NO")</f>
        <v>YES</v>
      </c>
      <c r="N30" s="2" t="str">
        <f>IF(D30=K30,"YES","NO")</f>
        <v>YES</v>
      </c>
      <c r="O30" s="2" t="str">
        <f>IF(C30=G30,"YES","NO")</f>
        <v>YES</v>
      </c>
      <c r="P30" s="2">
        <v>161.6</v>
      </c>
      <c r="Q30" s="2">
        <v>1.85</v>
      </c>
      <c r="R30" s="2">
        <v>1.8</v>
      </c>
      <c r="S30" s="10">
        <f>1000/P30</f>
        <v>6.1881188118811883</v>
      </c>
      <c r="T30" s="10">
        <f>36-S30</f>
        <v>29.811881188118811</v>
      </c>
      <c r="U30" s="10" t="s">
        <v>162</v>
      </c>
      <c r="V30" s="10" t="s">
        <v>162</v>
      </c>
      <c r="W30" s="10" t="s">
        <v>162</v>
      </c>
      <c r="X30" s="39">
        <v>0</v>
      </c>
      <c r="Y30" s="39">
        <v>0</v>
      </c>
      <c r="Z30" s="39">
        <v>0</v>
      </c>
      <c r="AA30" s="39">
        <v>0</v>
      </c>
      <c r="AB30" s="2">
        <v>0</v>
      </c>
      <c r="AC30" s="2">
        <v>0</v>
      </c>
    </row>
    <row r="31" spans="1:29" x14ac:dyDescent="0.2">
      <c r="A31" s="2" t="s">
        <v>34</v>
      </c>
      <c r="B31" s="2">
        <v>30</v>
      </c>
      <c r="C31" s="2" t="s">
        <v>334</v>
      </c>
      <c r="D31" s="2" t="s">
        <v>366</v>
      </c>
      <c r="E31" s="2" t="s">
        <v>362</v>
      </c>
      <c r="F31" s="2" t="s">
        <v>227</v>
      </c>
      <c r="G31" s="2" t="s">
        <v>334</v>
      </c>
      <c r="H31" s="2" t="s">
        <v>227</v>
      </c>
      <c r="I31" s="2" t="str">
        <f>IF(F31=H31,"YES","NO")</f>
        <v>YES</v>
      </c>
      <c r="J31" s="2" t="s">
        <v>318</v>
      </c>
      <c r="K31" s="2" t="s">
        <v>366</v>
      </c>
      <c r="L31" s="2" t="s">
        <v>362</v>
      </c>
      <c r="M31" s="2" t="str">
        <f>IF(E31=L31,"YES","NO")</f>
        <v>YES</v>
      </c>
      <c r="N31" s="2" t="str">
        <f>IF(D31=K31,"YES","NO")</f>
        <v>YES</v>
      </c>
      <c r="O31" s="2" t="str">
        <f>IF(C31=G31,"YES","NO")</f>
        <v>YES</v>
      </c>
      <c r="P31" s="2">
        <v>109.5</v>
      </c>
      <c r="Q31" s="2">
        <v>1.84</v>
      </c>
      <c r="R31" s="2">
        <v>1.79</v>
      </c>
      <c r="S31" s="10">
        <f>1000/P31</f>
        <v>9.1324200913242013</v>
      </c>
      <c r="T31" s="10">
        <f>36-S31</f>
        <v>26.8675799086758</v>
      </c>
      <c r="U31" s="10" t="s">
        <v>162</v>
      </c>
      <c r="V31" s="10" t="s">
        <v>162</v>
      </c>
      <c r="W31" s="10" t="s">
        <v>162</v>
      </c>
      <c r="X31" s="39">
        <v>0</v>
      </c>
      <c r="Y31" s="39">
        <v>0</v>
      </c>
      <c r="Z31" s="39">
        <v>0</v>
      </c>
      <c r="AA31" s="39">
        <v>0</v>
      </c>
      <c r="AB31" s="2">
        <v>0</v>
      </c>
      <c r="AC31" s="2">
        <v>0</v>
      </c>
    </row>
    <row r="32" spans="1:29" x14ac:dyDescent="0.2">
      <c r="A32" s="2" t="s">
        <v>35</v>
      </c>
      <c r="B32" s="2">
        <v>31</v>
      </c>
      <c r="C32" s="2" t="s">
        <v>334</v>
      </c>
      <c r="D32" s="2" t="s">
        <v>367</v>
      </c>
      <c r="E32" s="2" t="s">
        <v>363</v>
      </c>
      <c r="F32" s="2" t="s">
        <v>228</v>
      </c>
      <c r="G32" s="2" t="s">
        <v>334</v>
      </c>
      <c r="H32" s="2" t="s">
        <v>228</v>
      </c>
      <c r="I32" s="2" t="str">
        <f>IF(F32=H32,"YES","NO")</f>
        <v>YES</v>
      </c>
      <c r="J32" s="2" t="s">
        <v>318</v>
      </c>
      <c r="K32" s="2" t="s">
        <v>367</v>
      </c>
      <c r="L32" s="2" t="s">
        <v>363</v>
      </c>
      <c r="M32" s="2" t="str">
        <f>IF(E32=L32,"YES","NO")</f>
        <v>YES</v>
      </c>
      <c r="N32" s="2" t="str">
        <f>IF(D32=K32,"YES","NO")</f>
        <v>YES</v>
      </c>
      <c r="O32" s="2" t="str">
        <f>IF(C32=G32,"YES","NO")</f>
        <v>YES</v>
      </c>
      <c r="P32" s="2">
        <v>169.2</v>
      </c>
      <c r="Q32" s="2">
        <v>1.87</v>
      </c>
      <c r="R32" s="2">
        <v>1.9</v>
      </c>
      <c r="S32" s="10">
        <f>1000/P32</f>
        <v>5.9101654846335698</v>
      </c>
      <c r="T32" s="10">
        <f>36-S32</f>
        <v>30.08983451536643</v>
      </c>
      <c r="U32" s="10" t="s">
        <v>162</v>
      </c>
      <c r="V32" s="10" t="s">
        <v>162</v>
      </c>
      <c r="W32" s="10" t="s">
        <v>162</v>
      </c>
      <c r="X32" s="39">
        <v>0</v>
      </c>
      <c r="Y32" s="39">
        <v>0</v>
      </c>
      <c r="Z32" s="39">
        <v>0</v>
      </c>
      <c r="AA32" s="39">
        <v>0</v>
      </c>
      <c r="AB32" s="2">
        <v>0</v>
      </c>
      <c r="AC32" s="2">
        <v>0</v>
      </c>
    </row>
    <row r="33" spans="1:29" x14ac:dyDescent="0.2">
      <c r="A33" s="2" t="s">
        <v>36</v>
      </c>
      <c r="B33" s="2">
        <v>32</v>
      </c>
      <c r="C33" s="2" t="s">
        <v>335</v>
      </c>
      <c r="D33" s="2" t="s">
        <v>365</v>
      </c>
      <c r="E33" s="2" t="s">
        <v>361</v>
      </c>
      <c r="F33" s="2" t="s">
        <v>229</v>
      </c>
      <c r="G33" s="2" t="s">
        <v>335</v>
      </c>
      <c r="H33" s="2" t="s">
        <v>229</v>
      </c>
      <c r="I33" s="2" t="str">
        <f>IF(F33=H33,"YES","NO")</f>
        <v>YES</v>
      </c>
      <c r="J33" s="2" t="s">
        <v>318</v>
      </c>
      <c r="K33" s="2" t="s">
        <v>365</v>
      </c>
      <c r="L33" s="2" t="s">
        <v>361</v>
      </c>
      <c r="M33" s="2" t="str">
        <f>IF(E33=L33,"YES","NO")</f>
        <v>YES</v>
      </c>
      <c r="N33" s="2" t="str">
        <f>IF(D33=K33,"YES","NO")</f>
        <v>YES</v>
      </c>
      <c r="O33" s="2" t="str">
        <f>IF(C33=G33,"YES","NO")</f>
        <v>YES</v>
      </c>
      <c r="P33" s="2">
        <v>84.82</v>
      </c>
      <c r="Q33" s="2">
        <v>1.86</v>
      </c>
      <c r="R33" s="2">
        <v>1.7</v>
      </c>
      <c r="S33" s="10">
        <f>1000/P33</f>
        <v>11.789672247111531</v>
      </c>
      <c r="T33" s="10">
        <f>36-S33</f>
        <v>24.210327752888468</v>
      </c>
      <c r="U33" s="17" t="s">
        <v>162</v>
      </c>
      <c r="V33" s="17" t="s">
        <v>162</v>
      </c>
      <c r="W33" s="17">
        <v>34.889949798583984</v>
      </c>
      <c r="X33" s="33" t="s">
        <v>192</v>
      </c>
      <c r="Y33" s="33" t="s">
        <v>192</v>
      </c>
      <c r="Z33" s="33">
        <f>1/W33</f>
        <v>2.8661548834919368E-2</v>
      </c>
      <c r="AA33" s="33">
        <f>AVERAGE(X33:Z33)</f>
        <v>2.8661548834919368E-2</v>
      </c>
      <c r="AB33" s="2">
        <v>14</v>
      </c>
      <c r="AC33" s="2">
        <v>9.5558006230813924E-2</v>
      </c>
    </row>
    <row r="34" spans="1:29" x14ac:dyDescent="0.2">
      <c r="A34" s="2" t="s">
        <v>37</v>
      </c>
      <c r="B34" s="2">
        <v>33</v>
      </c>
      <c r="C34" s="2" t="s">
        <v>335</v>
      </c>
      <c r="D34" s="2" t="s">
        <v>366</v>
      </c>
      <c r="E34" s="2" t="s">
        <v>362</v>
      </c>
      <c r="F34" s="2" t="s">
        <v>230</v>
      </c>
      <c r="G34" s="2" t="s">
        <v>335</v>
      </c>
      <c r="H34" s="2" t="s">
        <v>230</v>
      </c>
      <c r="I34" s="2" t="str">
        <f>IF(F34=H34,"YES","NO")</f>
        <v>YES</v>
      </c>
      <c r="J34" s="2" t="s">
        <v>318</v>
      </c>
      <c r="K34" s="2" t="s">
        <v>366</v>
      </c>
      <c r="L34" s="2" t="s">
        <v>362</v>
      </c>
      <c r="M34" s="2" t="str">
        <f>IF(E34=L34,"YES","NO")</f>
        <v>YES</v>
      </c>
      <c r="N34" s="2" t="str">
        <f>IF(D34=K34,"YES","NO")</f>
        <v>YES</v>
      </c>
      <c r="O34" s="2" t="str">
        <f>IF(C34=G34,"YES","NO")</f>
        <v>YES</v>
      </c>
      <c r="P34" s="2">
        <v>261.39999999999998</v>
      </c>
      <c r="Q34" s="2">
        <v>1.92</v>
      </c>
      <c r="R34" s="2">
        <v>2.0699999999999998</v>
      </c>
      <c r="S34" s="10">
        <f>1000/P34</f>
        <v>3.825554705432288</v>
      </c>
      <c r="T34" s="10">
        <f>36-S34</f>
        <v>32.174445294567711</v>
      </c>
      <c r="U34" s="10">
        <v>30.974796295166016</v>
      </c>
      <c r="V34" s="10">
        <v>33.68109130859375</v>
      </c>
      <c r="W34" s="10">
        <v>33.902210235595703</v>
      </c>
      <c r="X34" s="34">
        <f>1/U34</f>
        <v>3.2284312396141955E-2</v>
      </c>
      <c r="Y34" s="34">
        <f>1/V34</f>
        <v>2.9690249369825183E-2</v>
      </c>
      <c r="Z34" s="36">
        <f>1/W34</f>
        <v>2.9496601933936675E-2</v>
      </c>
      <c r="AA34" s="36">
        <f>AVERAGE(X34:Z34)</f>
        <v>3.0490387899967938E-2</v>
      </c>
      <c r="AB34" s="2">
        <v>725</v>
      </c>
      <c r="AC34" s="2">
        <v>3.8090469642587022</v>
      </c>
    </row>
    <row r="35" spans="1:29" x14ac:dyDescent="0.2">
      <c r="A35" s="2" t="s">
        <v>38</v>
      </c>
      <c r="B35" s="2">
        <v>34</v>
      </c>
      <c r="C35" s="2" t="s">
        <v>335</v>
      </c>
      <c r="D35" s="2" t="s">
        <v>367</v>
      </c>
      <c r="E35" s="2" t="s">
        <v>363</v>
      </c>
      <c r="F35" s="2" t="s">
        <v>231</v>
      </c>
      <c r="G35" s="2" t="s">
        <v>335</v>
      </c>
      <c r="H35" s="2" t="s">
        <v>231</v>
      </c>
      <c r="I35" s="2" t="str">
        <f>IF(F35=H35,"YES","NO")</f>
        <v>YES</v>
      </c>
      <c r="J35" s="2" t="s">
        <v>318</v>
      </c>
      <c r="K35" s="2" t="s">
        <v>367</v>
      </c>
      <c r="L35" s="2" t="s">
        <v>363</v>
      </c>
      <c r="M35" s="2" t="str">
        <f>IF(E35=L35,"YES","NO")</f>
        <v>YES</v>
      </c>
      <c r="N35" s="2" t="str">
        <f>IF(D35=K35,"YES","NO")</f>
        <v>YES</v>
      </c>
      <c r="O35" s="2" t="str">
        <f>IF(C35=G35,"YES","NO")</f>
        <v>YES</v>
      </c>
      <c r="P35" s="2">
        <v>177.9</v>
      </c>
      <c r="Q35" s="2">
        <v>1.92</v>
      </c>
      <c r="R35" s="2">
        <v>2.0699999999999998</v>
      </c>
      <c r="S35" s="10">
        <f>1000/P35</f>
        <v>5.6211354693648117</v>
      </c>
      <c r="T35" s="10">
        <f>36-S35</f>
        <v>30.378864530635187</v>
      </c>
      <c r="U35" s="10">
        <v>33.705417633056641</v>
      </c>
      <c r="V35" s="10">
        <v>34.741664886474609</v>
      </c>
      <c r="W35" s="10">
        <v>35.872669219970703</v>
      </c>
      <c r="X35" s="34">
        <f>1/U35</f>
        <v>2.9668820926261077E-2</v>
      </c>
      <c r="Y35" s="34">
        <f>1/V35</f>
        <v>2.8783882501535303E-2</v>
      </c>
      <c r="Z35" s="36">
        <f>1/W35</f>
        <v>2.7876375573504555E-2</v>
      </c>
      <c r="AA35" s="36">
        <f>AVERAGE(X35:Z35)</f>
        <v>2.877635966710031E-2</v>
      </c>
      <c r="AB35" s="2">
        <v>102</v>
      </c>
      <c r="AC35" s="2">
        <v>0.5410932394988196</v>
      </c>
    </row>
    <row r="36" spans="1:29" x14ac:dyDescent="0.2">
      <c r="A36" s="2" t="s">
        <v>39</v>
      </c>
      <c r="B36" s="2">
        <v>35</v>
      </c>
      <c r="C36" s="2" t="s">
        <v>327</v>
      </c>
      <c r="D36" s="2" t="s">
        <v>367</v>
      </c>
      <c r="E36" s="2" t="s">
        <v>363</v>
      </c>
      <c r="F36" s="2" t="s">
        <v>232</v>
      </c>
      <c r="G36" s="2" t="s">
        <v>327</v>
      </c>
      <c r="H36" s="2" t="s">
        <v>232</v>
      </c>
      <c r="I36" s="2" t="str">
        <f>IF(F36=H36,"YES","NO")</f>
        <v>YES</v>
      </c>
      <c r="J36" s="2" t="s">
        <v>318</v>
      </c>
      <c r="K36" s="2" t="s">
        <v>367</v>
      </c>
      <c r="L36" s="2" t="s">
        <v>363</v>
      </c>
      <c r="M36" s="2" t="str">
        <f>IF(E36=L36,"YES","NO")</f>
        <v>YES</v>
      </c>
      <c r="N36" s="2" t="str">
        <f>IF(D36=K36,"YES","NO")</f>
        <v>YES</v>
      </c>
      <c r="O36" s="2" t="str">
        <f>IF(C36=G36,"YES","NO")</f>
        <v>YES</v>
      </c>
      <c r="P36" s="2">
        <v>169.9</v>
      </c>
      <c r="Q36" s="2">
        <v>1.89</v>
      </c>
      <c r="R36" s="2">
        <v>1.93</v>
      </c>
      <c r="S36" s="10">
        <f>1000/P36</f>
        <v>5.8858151854031782</v>
      </c>
      <c r="T36" s="10">
        <f>36-S36</f>
        <v>30.114184814596822</v>
      </c>
      <c r="U36" s="17">
        <v>35.309070587158203</v>
      </c>
      <c r="V36" s="17">
        <v>35.474002838134766</v>
      </c>
      <c r="W36" s="17" t="s">
        <v>162</v>
      </c>
      <c r="X36" s="31">
        <f>1/U36</f>
        <v>2.8321334528802262E-2</v>
      </c>
      <c r="Y36" s="31">
        <f>1/V36</f>
        <v>2.8189657777356717E-2</v>
      </c>
      <c r="Z36" s="33" t="s">
        <v>192</v>
      </c>
      <c r="AA36" s="33">
        <f>AVERAGE(X36:Z36)</f>
        <v>2.8255496153079492E-2</v>
      </c>
      <c r="AB36" s="2">
        <v>0</v>
      </c>
      <c r="AC36" s="2">
        <v>0</v>
      </c>
    </row>
    <row r="37" spans="1:29" x14ac:dyDescent="0.2">
      <c r="A37" s="2" t="s">
        <v>40</v>
      </c>
      <c r="B37" s="2">
        <v>36</v>
      </c>
      <c r="C37" s="2" t="s">
        <v>336</v>
      </c>
      <c r="D37" s="2" t="s">
        <v>366</v>
      </c>
      <c r="E37" s="2" t="s">
        <v>362</v>
      </c>
      <c r="F37" s="2" t="s">
        <v>233</v>
      </c>
      <c r="G37" s="2" t="s">
        <v>336</v>
      </c>
      <c r="H37" s="2" t="s">
        <v>233</v>
      </c>
      <c r="I37" s="2" t="str">
        <f>IF(F37=H37,"YES","NO")</f>
        <v>YES</v>
      </c>
      <c r="J37" s="2" t="s">
        <v>318</v>
      </c>
      <c r="K37" s="2" t="s">
        <v>366</v>
      </c>
      <c r="L37" s="2" t="s">
        <v>362</v>
      </c>
      <c r="M37" s="2" t="str">
        <f>IF(E37=L37,"YES","NO")</f>
        <v>YES</v>
      </c>
      <c r="N37" s="2" t="str">
        <f>IF(D37=K37,"YES","NO")</f>
        <v>YES</v>
      </c>
      <c r="O37" s="2" t="str">
        <f>IF(C37=G37,"YES","NO")</f>
        <v>YES</v>
      </c>
      <c r="P37" s="2">
        <v>137.1</v>
      </c>
      <c r="Q37" s="2">
        <v>1.91</v>
      </c>
      <c r="R37" s="2">
        <v>1.82</v>
      </c>
      <c r="S37" s="10">
        <f>1000/P37</f>
        <v>7.2939460247994168</v>
      </c>
      <c r="T37" s="10">
        <f>36-S37</f>
        <v>28.706053975200582</v>
      </c>
      <c r="U37" s="17" t="s">
        <v>162</v>
      </c>
      <c r="V37" s="17">
        <v>38.525177001953125</v>
      </c>
      <c r="W37" s="17" t="s">
        <v>162</v>
      </c>
      <c r="X37" s="33" t="s">
        <v>192</v>
      </c>
      <c r="Y37" s="31">
        <f>1/V37</f>
        <v>2.5957051409505598E-2</v>
      </c>
      <c r="Z37" s="33" t="s">
        <v>192</v>
      </c>
      <c r="AA37" s="33">
        <f>AVERAGE(X37:Z37)</f>
        <v>2.5957051409505598E-2</v>
      </c>
      <c r="AB37" s="2">
        <v>56</v>
      </c>
      <c r="AC37" s="2">
        <v>0.52647836599310283</v>
      </c>
    </row>
    <row r="38" spans="1:29" x14ac:dyDescent="0.2">
      <c r="A38" s="2" t="s">
        <v>41</v>
      </c>
      <c r="B38" s="2">
        <v>37</v>
      </c>
      <c r="C38" s="2" t="s">
        <v>336</v>
      </c>
      <c r="D38" s="2" t="s">
        <v>365</v>
      </c>
      <c r="E38" s="2" t="s">
        <v>361</v>
      </c>
      <c r="F38" s="2" t="s">
        <v>234</v>
      </c>
      <c r="G38" s="2" t="s">
        <v>336</v>
      </c>
      <c r="H38" s="2" t="s">
        <v>234</v>
      </c>
      <c r="I38" s="2" t="str">
        <f>IF(F38=H38,"YES","NO")</f>
        <v>YES</v>
      </c>
      <c r="J38" s="2" t="s">
        <v>318</v>
      </c>
      <c r="K38" s="2" t="s">
        <v>365</v>
      </c>
      <c r="L38" s="2" t="s">
        <v>361</v>
      </c>
      <c r="M38" s="2" t="str">
        <f>IF(E38=L38,"YES","NO")</f>
        <v>YES</v>
      </c>
      <c r="N38" s="2" t="str">
        <f>IF(D38=K38,"YES","NO")</f>
        <v>YES</v>
      </c>
      <c r="O38" s="2" t="str">
        <f>IF(C38=G38,"YES","NO")</f>
        <v>YES</v>
      </c>
      <c r="P38" s="2">
        <v>187.8</v>
      </c>
      <c r="Q38" s="2">
        <v>1.92</v>
      </c>
      <c r="R38" s="2">
        <v>1.92</v>
      </c>
      <c r="S38" s="10">
        <f>1000/P38</f>
        <v>5.324813631522896</v>
      </c>
      <c r="T38" s="10">
        <f>36-S38</f>
        <v>30.675186368477103</v>
      </c>
      <c r="U38" s="17" t="s">
        <v>162</v>
      </c>
      <c r="V38" s="17">
        <v>35.764320373535156</v>
      </c>
      <c r="W38" s="17" t="s">
        <v>162</v>
      </c>
      <c r="X38" s="33" t="s">
        <v>192</v>
      </c>
      <c r="Y38" s="31">
        <f>1/V38</f>
        <v>2.7960827706374616E-2</v>
      </c>
      <c r="Z38" s="33" t="s">
        <v>192</v>
      </c>
      <c r="AA38" s="33">
        <f>AVERAGE(X38:Z38)</f>
        <v>2.7960827706374616E-2</v>
      </c>
      <c r="AB38" s="2">
        <v>0</v>
      </c>
      <c r="AC38" s="2">
        <v>0</v>
      </c>
    </row>
    <row r="39" spans="1:29" x14ac:dyDescent="0.2">
      <c r="A39" s="2" t="s">
        <v>42</v>
      </c>
      <c r="B39" s="2">
        <v>38</v>
      </c>
      <c r="C39" s="2" t="s">
        <v>327</v>
      </c>
      <c r="D39" s="2" t="s">
        <v>365</v>
      </c>
      <c r="E39" s="2" t="s">
        <v>361</v>
      </c>
      <c r="F39" s="2" t="s">
        <v>235</v>
      </c>
      <c r="G39" s="2" t="s">
        <v>327</v>
      </c>
      <c r="H39" s="2" t="s">
        <v>235</v>
      </c>
      <c r="I39" s="2" t="str">
        <f>IF(F39=H39,"YES","NO")</f>
        <v>YES</v>
      </c>
      <c r="J39" s="2" t="s">
        <v>318</v>
      </c>
      <c r="K39" s="2" t="s">
        <v>365</v>
      </c>
      <c r="L39" s="2" t="s">
        <v>361</v>
      </c>
      <c r="M39" s="2" t="str">
        <f>IF(E39=L39,"YES","NO")</f>
        <v>YES</v>
      </c>
      <c r="N39" s="2" t="str">
        <f>IF(D39=K39,"YES","NO")</f>
        <v>YES</v>
      </c>
      <c r="O39" s="2" t="str">
        <f>IF(C39=G39,"YES","NO")</f>
        <v>YES</v>
      </c>
      <c r="P39" s="2">
        <v>168.1</v>
      </c>
      <c r="Q39" s="2">
        <v>1.92</v>
      </c>
      <c r="R39" s="2">
        <v>1.92</v>
      </c>
      <c r="S39" s="10">
        <f>1000/P39</f>
        <v>5.9488399762046402</v>
      </c>
      <c r="T39" s="10">
        <f>36-S39</f>
        <v>30.051160023795362</v>
      </c>
      <c r="U39" s="17" t="s">
        <v>162</v>
      </c>
      <c r="V39" s="17" t="s">
        <v>162</v>
      </c>
      <c r="W39" s="17">
        <v>35.870883941650391</v>
      </c>
      <c r="X39" s="33" t="s">
        <v>192</v>
      </c>
      <c r="Y39" s="33" t="s">
        <v>192</v>
      </c>
      <c r="Z39" s="33">
        <f>1/W39</f>
        <v>2.7877762968614227E-2</v>
      </c>
      <c r="AA39" s="33">
        <f>AVERAGE(X39:Z39)</f>
        <v>2.7877762968614227E-2</v>
      </c>
      <c r="AB39" s="2">
        <v>0</v>
      </c>
      <c r="AC39" s="2">
        <v>0</v>
      </c>
    </row>
    <row r="40" spans="1:29" x14ac:dyDescent="0.2">
      <c r="A40" s="2" t="s">
        <v>43</v>
      </c>
      <c r="B40" s="2">
        <v>39</v>
      </c>
      <c r="C40" s="2" t="s">
        <v>329</v>
      </c>
      <c r="D40" s="2" t="s">
        <v>365</v>
      </c>
      <c r="E40" s="2" t="s">
        <v>361</v>
      </c>
      <c r="F40" s="2" t="s">
        <v>236</v>
      </c>
      <c r="G40" s="2" t="s">
        <v>329</v>
      </c>
      <c r="H40" s="2" t="s">
        <v>236</v>
      </c>
      <c r="I40" s="2" t="str">
        <f>IF(F40=H40,"YES","NO")</f>
        <v>YES</v>
      </c>
      <c r="J40" s="2" t="s">
        <v>318</v>
      </c>
      <c r="K40" s="2" t="s">
        <v>365</v>
      </c>
      <c r="L40" s="2" t="s">
        <v>361</v>
      </c>
      <c r="M40" s="2" t="str">
        <f>IF(E40=L40,"YES","NO")</f>
        <v>YES</v>
      </c>
      <c r="N40" s="2" t="str">
        <f>IF(D40=K40,"YES","NO")</f>
        <v>YES</v>
      </c>
      <c r="O40" s="2" t="str">
        <f>IF(C40=G40,"YES","NO")</f>
        <v>YES</v>
      </c>
      <c r="P40" s="2">
        <v>166.1</v>
      </c>
      <c r="Q40" s="2">
        <v>1.91</v>
      </c>
      <c r="R40" s="2">
        <v>1.86</v>
      </c>
      <c r="S40" s="10">
        <f>1000/P40</f>
        <v>6.0204695966285371</v>
      </c>
      <c r="T40" s="10">
        <f>36-S40</f>
        <v>29.979530403371463</v>
      </c>
      <c r="U40" s="17">
        <v>35.001377105712891</v>
      </c>
      <c r="V40" s="17" t="s">
        <v>162</v>
      </c>
      <c r="W40" s="17">
        <v>34.245895385742188</v>
      </c>
      <c r="X40" s="31">
        <f>1/U40</f>
        <v>2.8570304447729313E-2</v>
      </c>
      <c r="Y40" s="33" t="s">
        <v>192</v>
      </c>
      <c r="Z40" s="33">
        <f>1/W40</f>
        <v>2.9200579769811958E-2</v>
      </c>
      <c r="AA40" s="33">
        <f>AVERAGE(X40:Z40)</f>
        <v>2.8885442108770636E-2</v>
      </c>
      <c r="AB40" s="2">
        <v>66</v>
      </c>
      <c r="AC40" s="2">
        <v>0.44478251320355389</v>
      </c>
    </row>
    <row r="41" spans="1:29" x14ac:dyDescent="0.2">
      <c r="A41" s="2" t="s">
        <v>44</v>
      </c>
      <c r="B41" s="2">
        <v>40</v>
      </c>
      <c r="C41" s="2" t="s">
        <v>328</v>
      </c>
      <c r="D41" s="2" t="s">
        <v>367</v>
      </c>
      <c r="E41" s="2" t="s">
        <v>363</v>
      </c>
      <c r="F41" s="2" t="s">
        <v>237</v>
      </c>
      <c r="G41" s="2" t="s">
        <v>328</v>
      </c>
      <c r="H41" s="2" t="s">
        <v>237</v>
      </c>
      <c r="I41" s="2" t="str">
        <f>IF(F41=H41,"YES","NO")</f>
        <v>YES</v>
      </c>
      <c r="J41" s="2" t="s">
        <v>318</v>
      </c>
      <c r="K41" s="2" t="s">
        <v>367</v>
      </c>
      <c r="L41" s="2" t="s">
        <v>363</v>
      </c>
      <c r="M41" s="2" t="str">
        <f>IF(E41=L41,"YES","NO")</f>
        <v>YES</v>
      </c>
      <c r="N41" s="2" t="str">
        <f>IF(D41=K41,"YES","NO")</f>
        <v>YES</v>
      </c>
      <c r="O41" s="2" t="str">
        <f>IF(C41=G41,"YES","NO")</f>
        <v>YES</v>
      </c>
      <c r="P41" s="2">
        <v>127.9</v>
      </c>
      <c r="Q41" s="2">
        <v>1.94</v>
      </c>
      <c r="R41" s="2">
        <v>1.86</v>
      </c>
      <c r="S41" s="10">
        <f>1000/P41</f>
        <v>7.8186082877247847</v>
      </c>
      <c r="T41" s="10">
        <f>36-S41</f>
        <v>28.181391712275214</v>
      </c>
      <c r="U41" s="10" t="s">
        <v>162</v>
      </c>
      <c r="V41" s="10" t="s">
        <v>162</v>
      </c>
      <c r="W41" s="10" t="s">
        <v>162</v>
      </c>
      <c r="X41" s="39">
        <v>0</v>
      </c>
      <c r="Y41" s="39">
        <v>0</v>
      </c>
      <c r="Z41" s="39">
        <v>0</v>
      </c>
      <c r="AA41" s="39">
        <v>0</v>
      </c>
      <c r="AB41" s="2">
        <v>0</v>
      </c>
      <c r="AC41" s="2">
        <v>0</v>
      </c>
    </row>
    <row r="42" spans="1:29" x14ac:dyDescent="0.2">
      <c r="A42" s="2" t="s">
        <v>45</v>
      </c>
      <c r="B42" s="2">
        <v>41</v>
      </c>
      <c r="C42" s="2" t="s">
        <v>337</v>
      </c>
      <c r="D42" s="2" t="s">
        <v>365</v>
      </c>
      <c r="E42" s="2" t="s">
        <v>361</v>
      </c>
      <c r="F42" s="2" t="s">
        <v>238</v>
      </c>
      <c r="G42" s="2" t="s">
        <v>337</v>
      </c>
      <c r="H42" s="2" t="s">
        <v>238</v>
      </c>
      <c r="I42" s="2" t="str">
        <f>IF(F42=H42,"YES","NO")</f>
        <v>YES</v>
      </c>
      <c r="J42" s="2" t="s">
        <v>318</v>
      </c>
      <c r="K42" s="2" t="s">
        <v>365</v>
      </c>
      <c r="L42" s="2" t="s">
        <v>361</v>
      </c>
      <c r="M42" s="2" t="str">
        <f>IF(E42=L42,"YES","NO")</f>
        <v>YES</v>
      </c>
      <c r="N42" s="2" t="str">
        <f>IF(D42=K42,"YES","NO")</f>
        <v>YES</v>
      </c>
      <c r="O42" s="2" t="str">
        <f>IF(C42=G42,"YES","NO")</f>
        <v>YES</v>
      </c>
      <c r="P42" s="2">
        <v>182.9</v>
      </c>
      <c r="Q42" s="2">
        <v>1.91</v>
      </c>
      <c r="R42" s="2">
        <v>1.97</v>
      </c>
      <c r="S42" s="10">
        <f>1000/P42</f>
        <v>5.4674685620557684</v>
      </c>
      <c r="T42" s="10">
        <f>36-S42</f>
        <v>30.532531437944233</v>
      </c>
      <c r="U42" s="10" t="s">
        <v>162</v>
      </c>
      <c r="V42" s="10" t="s">
        <v>162</v>
      </c>
      <c r="W42" s="10" t="s">
        <v>162</v>
      </c>
      <c r="X42" s="39">
        <v>0</v>
      </c>
      <c r="Y42" s="39">
        <v>0</v>
      </c>
      <c r="Z42" s="39">
        <v>0</v>
      </c>
      <c r="AA42" s="39">
        <v>0</v>
      </c>
      <c r="AB42" s="2">
        <v>0</v>
      </c>
      <c r="AC42" s="2">
        <v>0</v>
      </c>
    </row>
    <row r="43" spans="1:29" x14ac:dyDescent="0.2">
      <c r="A43" s="2" t="s">
        <v>46</v>
      </c>
      <c r="B43" s="2">
        <v>42</v>
      </c>
      <c r="C43" s="2" t="s">
        <v>337</v>
      </c>
      <c r="D43" s="2" t="s">
        <v>367</v>
      </c>
      <c r="E43" s="2" t="s">
        <v>363</v>
      </c>
      <c r="F43" s="2" t="s">
        <v>239</v>
      </c>
      <c r="G43" s="2" t="s">
        <v>337</v>
      </c>
      <c r="H43" s="2" t="s">
        <v>239</v>
      </c>
      <c r="I43" s="2" t="str">
        <f>IF(F43=H43,"YES","NO")</f>
        <v>YES</v>
      </c>
      <c r="J43" s="2" t="s">
        <v>318</v>
      </c>
      <c r="K43" s="2" t="s">
        <v>367</v>
      </c>
      <c r="L43" s="2" t="s">
        <v>363</v>
      </c>
      <c r="M43" s="2" t="str">
        <f>IF(E43=L43,"YES","NO")</f>
        <v>YES</v>
      </c>
      <c r="N43" s="2" t="str">
        <f>IF(D43=K43,"YES","NO")</f>
        <v>YES</v>
      </c>
      <c r="O43" s="2" t="str">
        <f>IF(C43=G43,"YES","NO")</f>
        <v>YES</v>
      </c>
      <c r="P43" s="2">
        <v>183.8</v>
      </c>
      <c r="Q43" s="2">
        <v>1.89</v>
      </c>
      <c r="R43" s="2">
        <v>2.02</v>
      </c>
      <c r="S43" s="10">
        <f>1000/P43</f>
        <v>5.4406964091403696</v>
      </c>
      <c r="T43" s="10">
        <f>36-S43</f>
        <v>30.559303590859631</v>
      </c>
      <c r="U43" s="10" t="s">
        <v>162</v>
      </c>
      <c r="V43" s="10" t="s">
        <v>162</v>
      </c>
      <c r="W43" s="10" t="s">
        <v>162</v>
      </c>
      <c r="X43" s="39">
        <v>0</v>
      </c>
      <c r="Y43" s="39">
        <v>0</v>
      </c>
      <c r="Z43" s="39">
        <v>0</v>
      </c>
      <c r="AA43" s="39">
        <v>0</v>
      </c>
      <c r="AB43" s="2">
        <v>0</v>
      </c>
      <c r="AC43" s="2">
        <v>0</v>
      </c>
    </row>
    <row r="44" spans="1:29" x14ac:dyDescent="0.2">
      <c r="A44" s="2" t="s">
        <v>47</v>
      </c>
      <c r="B44" s="2">
        <v>43</v>
      </c>
      <c r="C44" s="2" t="s">
        <v>338</v>
      </c>
      <c r="D44" s="2" t="s">
        <v>367</v>
      </c>
      <c r="E44" s="2" t="s">
        <v>363</v>
      </c>
      <c r="F44" s="2" t="s">
        <v>240</v>
      </c>
      <c r="G44" s="2" t="s">
        <v>338</v>
      </c>
      <c r="H44" s="2" t="s">
        <v>240</v>
      </c>
      <c r="I44" s="2" t="str">
        <f>IF(F44=H44,"YES","NO")</f>
        <v>YES</v>
      </c>
      <c r="J44" s="2" t="s">
        <v>318</v>
      </c>
      <c r="K44" s="2" t="s">
        <v>367</v>
      </c>
      <c r="L44" s="2" t="s">
        <v>363</v>
      </c>
      <c r="M44" s="2" t="str">
        <f>IF(E44=L44,"YES","NO")</f>
        <v>YES</v>
      </c>
      <c r="N44" s="2" t="str">
        <f>IF(D44=K44,"YES","NO")</f>
        <v>YES</v>
      </c>
      <c r="O44" s="2" t="str">
        <f>IF(C44=G44,"YES","NO")</f>
        <v>YES</v>
      </c>
      <c r="P44" s="2">
        <v>129</v>
      </c>
      <c r="Q44" s="2">
        <v>1.88</v>
      </c>
      <c r="R44" s="2">
        <v>1.88</v>
      </c>
      <c r="S44" s="10">
        <f>1000/P44</f>
        <v>7.7519379844961236</v>
      </c>
      <c r="T44" s="10">
        <f>36-S44</f>
        <v>28.248062015503876</v>
      </c>
      <c r="U44" s="10">
        <v>33.996749877929688</v>
      </c>
      <c r="V44" s="10">
        <v>34.883583068847656</v>
      </c>
      <c r="W44" s="10">
        <v>36.968097686767578</v>
      </c>
      <c r="X44" s="34">
        <f>1/U44</f>
        <v>2.9414576498949064E-2</v>
      </c>
      <c r="Y44" s="34">
        <f>1/V44</f>
        <v>2.8666779958536927E-2</v>
      </c>
      <c r="Z44" s="36">
        <f>1/W44</f>
        <v>2.7050350506889666E-2</v>
      </c>
      <c r="AA44" s="36">
        <f>AVERAGE(X44:Z44)</f>
        <v>2.8377235654791888E-2</v>
      </c>
      <c r="AB44" s="2">
        <v>615</v>
      </c>
      <c r="AC44" s="2">
        <v>4.6073746432896829</v>
      </c>
    </row>
    <row r="45" spans="1:29" x14ac:dyDescent="0.2">
      <c r="A45" s="2" t="s">
        <v>48</v>
      </c>
      <c r="B45" s="2">
        <v>44</v>
      </c>
      <c r="C45" s="2" t="s">
        <v>338</v>
      </c>
      <c r="D45" s="2" t="s">
        <v>366</v>
      </c>
      <c r="E45" s="2" t="s">
        <v>362</v>
      </c>
      <c r="F45" s="2" t="s">
        <v>241</v>
      </c>
      <c r="G45" s="2" t="s">
        <v>338</v>
      </c>
      <c r="H45" s="2" t="s">
        <v>241</v>
      </c>
      <c r="I45" s="2" t="str">
        <f>IF(F45=H45,"YES","NO")</f>
        <v>YES</v>
      </c>
      <c r="J45" s="2" t="s">
        <v>318</v>
      </c>
      <c r="K45" s="2" t="s">
        <v>366</v>
      </c>
      <c r="L45" s="2" t="s">
        <v>362</v>
      </c>
      <c r="M45" s="2" t="str">
        <f>IF(E45=L45,"YES","NO")</f>
        <v>YES</v>
      </c>
      <c r="N45" s="2" t="str">
        <f>IF(D45=K45,"YES","NO")</f>
        <v>YES</v>
      </c>
      <c r="O45" s="2" t="str">
        <f>IF(C45=G45,"YES","NO")</f>
        <v>YES</v>
      </c>
      <c r="P45" s="2">
        <v>168.6</v>
      </c>
      <c r="Q45" s="2">
        <v>1.97</v>
      </c>
      <c r="R45" s="2">
        <v>2.2200000000000002</v>
      </c>
      <c r="S45" s="10">
        <f>1000/P45</f>
        <v>5.9311981020166078</v>
      </c>
      <c r="T45" s="10">
        <f>36-S45</f>
        <v>30.068801897983391</v>
      </c>
      <c r="U45" s="10">
        <v>35.464923858642578</v>
      </c>
      <c r="V45" s="10">
        <v>35.957363128662109</v>
      </c>
      <c r="W45" s="10">
        <v>34.825126647949219</v>
      </c>
      <c r="X45" s="34">
        <f>1/U45</f>
        <v>2.8196874297146034E-2</v>
      </c>
      <c r="Y45" s="34">
        <f>1/V45</f>
        <v>2.7810715608422527E-2</v>
      </c>
      <c r="Z45" s="36">
        <f>1/W45</f>
        <v>2.8714899162007441E-2</v>
      </c>
      <c r="AA45" s="36">
        <f>AVERAGE(X45:Z45)</f>
        <v>2.8240829689192001E-2</v>
      </c>
      <c r="AB45" s="2">
        <v>0</v>
      </c>
      <c r="AC45" s="2">
        <v>0</v>
      </c>
    </row>
    <row r="46" spans="1:29" x14ac:dyDescent="0.2">
      <c r="A46" s="2" t="s">
        <v>49</v>
      </c>
      <c r="B46" s="2">
        <v>45</v>
      </c>
      <c r="C46" s="2" t="s">
        <v>339</v>
      </c>
      <c r="D46" s="2" t="s">
        <v>365</v>
      </c>
      <c r="E46" s="2" t="s">
        <v>361</v>
      </c>
      <c r="F46" s="2" t="s">
        <v>242</v>
      </c>
      <c r="G46" s="2" t="s">
        <v>339</v>
      </c>
      <c r="H46" s="2" t="s">
        <v>242</v>
      </c>
      <c r="I46" s="2" t="str">
        <f>IF(F46=H46,"YES","NO")</f>
        <v>YES</v>
      </c>
      <c r="J46" s="2" t="s">
        <v>318</v>
      </c>
      <c r="K46" s="2" t="s">
        <v>365</v>
      </c>
      <c r="L46" s="2" t="s">
        <v>361</v>
      </c>
      <c r="M46" s="2" t="str">
        <f>IF(E46=L46,"YES","NO")</f>
        <v>YES</v>
      </c>
      <c r="N46" s="2" t="str">
        <f>IF(D46=K46,"YES","NO")</f>
        <v>YES</v>
      </c>
      <c r="O46" s="2" t="str">
        <f>IF(C46=G46,"YES","NO")</f>
        <v>YES</v>
      </c>
      <c r="P46" s="2">
        <v>62.49</v>
      </c>
      <c r="Q46" s="2">
        <v>1.79</v>
      </c>
      <c r="R46" s="2">
        <v>1.54</v>
      </c>
      <c r="S46" s="10">
        <f>1000/P46</f>
        <v>16.002560409665545</v>
      </c>
      <c r="T46" s="10">
        <f>36-S46</f>
        <v>19.997439590334455</v>
      </c>
      <c r="U46" s="17" t="s">
        <v>162</v>
      </c>
      <c r="V46" s="17">
        <v>35.779376983642578</v>
      </c>
      <c r="W46" s="17">
        <v>34.8284912109375</v>
      </c>
      <c r="X46" s="31" t="s">
        <v>192</v>
      </c>
      <c r="Y46" s="31">
        <f>1/V46</f>
        <v>2.7949061283464343E-2</v>
      </c>
      <c r="Z46" s="33">
        <f>1/W46</f>
        <v>2.8712125194959956E-2</v>
      </c>
      <c r="AA46" s="33">
        <f>AVERAGE(X46:Z46)</f>
        <v>2.8330593239212151E-2</v>
      </c>
      <c r="AB46" s="2">
        <v>144</v>
      </c>
      <c r="AC46" s="2">
        <v>1.0279226525460441</v>
      </c>
    </row>
    <row r="47" spans="1:29" x14ac:dyDescent="0.2">
      <c r="A47" s="2" t="s">
        <v>50</v>
      </c>
      <c r="B47" s="2">
        <v>46</v>
      </c>
      <c r="C47" s="2" t="s">
        <v>322</v>
      </c>
      <c r="D47" s="2" t="s">
        <v>367</v>
      </c>
      <c r="E47" s="2" t="s">
        <v>363</v>
      </c>
      <c r="F47" s="2" t="s">
        <v>243</v>
      </c>
      <c r="G47" s="2" t="s">
        <v>322</v>
      </c>
      <c r="H47" s="2" t="s">
        <v>243</v>
      </c>
      <c r="I47" s="2" t="str">
        <f>IF(F47=H47,"YES","NO")</f>
        <v>YES</v>
      </c>
      <c r="J47" s="2" t="s">
        <v>318</v>
      </c>
      <c r="K47" s="2" t="s">
        <v>367</v>
      </c>
      <c r="L47" s="2" t="s">
        <v>363</v>
      </c>
      <c r="M47" s="2" t="str">
        <f>IF(E47=L47,"YES","NO")</f>
        <v>YES</v>
      </c>
      <c r="N47" s="2" t="str">
        <f>IF(D47=K47,"YES","NO")</f>
        <v>YES</v>
      </c>
      <c r="O47" s="2" t="str">
        <f>IF(C47=G47,"YES","NO")</f>
        <v>YES</v>
      </c>
      <c r="P47" s="2">
        <v>106.5</v>
      </c>
      <c r="Q47" s="2">
        <v>1.87</v>
      </c>
      <c r="R47" s="2">
        <v>1.6</v>
      </c>
      <c r="S47" s="10">
        <f>1000/P47</f>
        <v>9.3896713615023479</v>
      </c>
      <c r="T47" s="10">
        <f>36-S47</f>
        <v>26.610328638497652</v>
      </c>
      <c r="U47" s="10">
        <v>35.397422790527344</v>
      </c>
      <c r="V47" s="10">
        <v>35.634429931640625</v>
      </c>
      <c r="W47" s="10">
        <v>34.387351989746094</v>
      </c>
      <c r="X47" s="34">
        <f>1/U47</f>
        <v>2.8250644288928532E-2</v>
      </c>
      <c r="Y47" s="34">
        <f>1/V47</f>
        <v>2.806274723401923E-2</v>
      </c>
      <c r="Z47" s="36">
        <f>1/W47</f>
        <v>2.9080459591601829E-2</v>
      </c>
      <c r="AA47" s="36">
        <f>AVERAGE(X47:Z47)</f>
        <v>2.8464617038183194E-2</v>
      </c>
      <c r="AB47" s="2">
        <v>62</v>
      </c>
      <c r="AC47" s="2">
        <v>0.45415560971410501</v>
      </c>
    </row>
    <row r="48" spans="1:29" x14ac:dyDescent="0.2">
      <c r="A48" s="2" t="s">
        <v>51</v>
      </c>
      <c r="B48" s="2">
        <v>47</v>
      </c>
      <c r="C48" s="2" t="s">
        <v>340</v>
      </c>
      <c r="D48" s="2" t="s">
        <v>365</v>
      </c>
      <c r="E48" s="2" t="s">
        <v>361</v>
      </c>
      <c r="F48" s="2" t="s">
        <v>244</v>
      </c>
      <c r="G48" s="2" t="s">
        <v>340</v>
      </c>
      <c r="H48" s="2" t="s">
        <v>244</v>
      </c>
      <c r="I48" s="2" t="str">
        <f>IF(F48=H48,"YES","NO")</f>
        <v>YES</v>
      </c>
      <c r="J48" s="2" t="s">
        <v>318</v>
      </c>
      <c r="K48" s="2" t="s">
        <v>365</v>
      </c>
      <c r="L48" s="2" t="s">
        <v>361</v>
      </c>
      <c r="M48" s="2" t="str">
        <f>IF(E48=L48,"YES","NO")</f>
        <v>YES</v>
      </c>
      <c r="N48" s="2" t="str">
        <f>IF(D48=K48,"YES","NO")</f>
        <v>YES</v>
      </c>
      <c r="O48" s="2" t="str">
        <f>IF(C48=G48,"YES","NO")</f>
        <v>YES</v>
      </c>
      <c r="P48" s="2">
        <v>149.19999999999999</v>
      </c>
      <c r="Q48" s="2">
        <v>1.86</v>
      </c>
      <c r="R48" s="2">
        <v>1.88</v>
      </c>
      <c r="S48" s="10">
        <f>1000/P48</f>
        <v>6.7024128686327087</v>
      </c>
      <c r="T48" s="10">
        <f>36-S48</f>
        <v>29.29758713136729</v>
      </c>
      <c r="U48" s="17" t="s">
        <v>162</v>
      </c>
      <c r="V48" s="17">
        <v>33.557834625244141</v>
      </c>
      <c r="W48" s="17">
        <v>33.515773773193359</v>
      </c>
      <c r="X48" s="31" t="s">
        <v>192</v>
      </c>
      <c r="Y48" s="31">
        <f>1/V48</f>
        <v>2.9799300555815429E-2</v>
      </c>
      <c r="Z48" s="33">
        <f>1/W48</f>
        <v>2.9836697394103478E-2</v>
      </c>
      <c r="AA48" s="33">
        <f>AVERAGE(X48:Z48)</f>
        <v>2.9817998974959452E-2</v>
      </c>
      <c r="AB48" s="2">
        <v>102</v>
      </c>
      <c r="AC48" s="2">
        <v>0.7408320368459288</v>
      </c>
    </row>
    <row r="49" spans="1:29" x14ac:dyDescent="0.2">
      <c r="A49" s="2" t="s">
        <v>52</v>
      </c>
      <c r="B49" s="2">
        <v>48</v>
      </c>
      <c r="C49" s="2" t="s">
        <v>322</v>
      </c>
      <c r="D49" s="2" t="s">
        <v>366</v>
      </c>
      <c r="E49" s="2" t="s">
        <v>362</v>
      </c>
      <c r="F49" s="2" t="s">
        <v>245</v>
      </c>
      <c r="G49" s="2" t="s">
        <v>322</v>
      </c>
      <c r="H49" s="2" t="s">
        <v>245</v>
      </c>
      <c r="I49" s="2" t="str">
        <f>IF(F49=H49,"YES","NO")</f>
        <v>YES</v>
      </c>
      <c r="J49" s="2" t="s">
        <v>318</v>
      </c>
      <c r="K49" s="2" t="s">
        <v>366</v>
      </c>
      <c r="L49" s="2" t="s">
        <v>362</v>
      </c>
      <c r="M49" s="2" t="str">
        <f>IF(E49=L49,"YES","NO")</f>
        <v>YES</v>
      </c>
      <c r="N49" s="2" t="str">
        <f>IF(D49=K49,"YES","NO")</f>
        <v>YES</v>
      </c>
      <c r="O49" s="2" t="str">
        <f>IF(C49=G49,"YES","NO")</f>
        <v>YES</v>
      </c>
      <c r="P49" s="2">
        <v>123.1</v>
      </c>
      <c r="Q49" s="2">
        <v>1.93</v>
      </c>
      <c r="R49" s="2">
        <v>1.8</v>
      </c>
      <c r="S49" s="10">
        <f>1000/P49</f>
        <v>8.1234768480909825</v>
      </c>
      <c r="T49" s="10">
        <f>36-S49</f>
        <v>27.876523151909019</v>
      </c>
      <c r="U49" s="17">
        <v>33.904510498046875</v>
      </c>
      <c r="V49" s="17">
        <v>34.174530029296875</v>
      </c>
      <c r="W49" s="17" t="s">
        <v>162</v>
      </c>
      <c r="X49" s="31">
        <f>1/U49</f>
        <v>2.9494600727463877E-2</v>
      </c>
      <c r="Y49" s="31">
        <f>1/V49</f>
        <v>2.9261558217266712E-2</v>
      </c>
      <c r="Z49" s="31" t="s">
        <v>192</v>
      </c>
      <c r="AA49" s="33">
        <f>AVERAGE(X49:Z49)</f>
        <v>2.9378079472365294E-2</v>
      </c>
      <c r="AB49" s="2">
        <v>212</v>
      </c>
      <c r="AC49" s="2">
        <v>1.179568217979734</v>
      </c>
    </row>
    <row r="50" spans="1:29" x14ac:dyDescent="0.2">
      <c r="A50" s="2" t="s">
        <v>53</v>
      </c>
      <c r="B50" s="2">
        <v>49</v>
      </c>
      <c r="C50" s="2" t="s">
        <v>340</v>
      </c>
      <c r="D50" s="2" t="s">
        <v>366</v>
      </c>
      <c r="E50" s="2" t="s">
        <v>362</v>
      </c>
      <c r="F50" s="2" t="s">
        <v>246</v>
      </c>
      <c r="G50" s="2" t="s">
        <v>340</v>
      </c>
      <c r="H50" s="2" t="s">
        <v>246</v>
      </c>
      <c r="I50" s="2" t="str">
        <f>IF(F50=H50,"YES","NO")</f>
        <v>YES</v>
      </c>
      <c r="J50" s="2" t="s">
        <v>318</v>
      </c>
      <c r="K50" s="2" t="s">
        <v>366</v>
      </c>
      <c r="L50" s="2" t="s">
        <v>362</v>
      </c>
      <c r="M50" s="2" t="str">
        <f>IF(E50=L50,"YES","NO")</f>
        <v>YES</v>
      </c>
      <c r="N50" s="2" t="str">
        <f>IF(D50=K50,"YES","NO")</f>
        <v>YES</v>
      </c>
      <c r="O50" s="2" t="str">
        <f>IF(C50=G50,"YES","NO")</f>
        <v>YES</v>
      </c>
      <c r="P50" s="2">
        <v>74.069999999999993</v>
      </c>
      <c r="Q50" s="2">
        <v>1.89</v>
      </c>
      <c r="R50" s="2">
        <v>1.68</v>
      </c>
      <c r="S50" s="10">
        <f>1000/P50</f>
        <v>13.500742540839747</v>
      </c>
      <c r="T50" s="10">
        <f>36-S50</f>
        <v>22.499257459160255</v>
      </c>
      <c r="U50" s="10">
        <v>34.413688659667969</v>
      </c>
      <c r="V50" s="10">
        <v>32.67340087890625</v>
      </c>
      <c r="W50" s="10">
        <v>34.466823577880859</v>
      </c>
      <c r="X50" s="34">
        <f>1/U50</f>
        <v>2.9058204422357559E-2</v>
      </c>
      <c r="Y50" s="34">
        <f>1/V50</f>
        <v>3.0605935504118088E-2</v>
      </c>
      <c r="Z50" s="36">
        <f>1/W50</f>
        <v>2.9013407566856601E-2</v>
      </c>
      <c r="AA50" s="36">
        <f>AVERAGE(X50:Z50)</f>
        <v>2.955918249777742E-2</v>
      </c>
      <c r="AB50" s="2">
        <v>273</v>
      </c>
      <c r="AC50" s="2">
        <v>1.967753730373186</v>
      </c>
    </row>
    <row r="51" spans="1:29" x14ac:dyDescent="0.2">
      <c r="A51" s="2" t="s">
        <v>54</v>
      </c>
      <c r="B51" s="2">
        <v>50</v>
      </c>
      <c r="C51" s="2" t="s">
        <v>340</v>
      </c>
      <c r="D51" s="2" t="s">
        <v>367</v>
      </c>
      <c r="E51" s="2" t="s">
        <v>363</v>
      </c>
      <c r="F51" s="2" t="s">
        <v>247</v>
      </c>
      <c r="G51" s="2" t="s">
        <v>340</v>
      </c>
      <c r="H51" s="2" t="s">
        <v>247</v>
      </c>
      <c r="I51" s="2" t="str">
        <f>IF(F51=H51,"YES","NO")</f>
        <v>YES</v>
      </c>
      <c r="J51" s="2" t="s">
        <v>318</v>
      </c>
      <c r="K51" s="2" t="s">
        <v>367</v>
      </c>
      <c r="L51" s="2" t="s">
        <v>363</v>
      </c>
      <c r="M51" s="2" t="str">
        <f>IF(E51=L51,"YES","NO")</f>
        <v>YES</v>
      </c>
      <c r="N51" s="2" t="str">
        <f>IF(D51=K51,"YES","NO")</f>
        <v>YES</v>
      </c>
      <c r="O51" s="2" t="str">
        <f>IF(C51=G51,"YES","NO")</f>
        <v>YES</v>
      </c>
      <c r="P51" s="2">
        <v>196</v>
      </c>
      <c r="Q51" s="2">
        <v>1.9</v>
      </c>
      <c r="R51" s="2">
        <v>1.94</v>
      </c>
      <c r="S51" s="10">
        <f>1000/P51</f>
        <v>5.1020408163265305</v>
      </c>
      <c r="T51" s="10">
        <f>36-S51</f>
        <v>30.897959183673471</v>
      </c>
      <c r="U51" s="10">
        <v>34.123031616210938</v>
      </c>
      <c r="V51" s="10">
        <v>34.689865112304688</v>
      </c>
      <c r="W51" s="10">
        <v>36.137985229492188</v>
      </c>
      <c r="X51" s="34">
        <f>1/U51</f>
        <v>2.9305719704134578E-2</v>
      </c>
      <c r="Y51" s="34">
        <f>1/V51</f>
        <v>2.8826863314763782E-2</v>
      </c>
      <c r="Z51" s="36">
        <f>1/W51</f>
        <v>2.7671714226721766E-2</v>
      </c>
      <c r="AA51" s="36">
        <f>AVERAGE(X51:Z51)</f>
        <v>2.8601432415206709E-2</v>
      </c>
      <c r="AB51" s="2">
        <v>217</v>
      </c>
      <c r="AC51" s="2">
        <v>1.3407244628409649</v>
      </c>
    </row>
    <row r="52" spans="1:29" x14ac:dyDescent="0.2">
      <c r="A52" s="2" t="s">
        <v>55</v>
      </c>
      <c r="B52" s="2">
        <v>51</v>
      </c>
      <c r="C52" s="2" t="s">
        <v>323</v>
      </c>
      <c r="D52" s="2" t="s">
        <v>365</v>
      </c>
      <c r="E52" s="2" t="s">
        <v>361</v>
      </c>
      <c r="F52" s="2" t="s">
        <v>248</v>
      </c>
      <c r="G52" s="2" t="s">
        <v>323</v>
      </c>
      <c r="H52" s="2" t="s">
        <v>248</v>
      </c>
      <c r="I52" s="2" t="str">
        <f>IF(F52=H52,"YES","NO")</f>
        <v>YES</v>
      </c>
      <c r="J52" s="2" t="s">
        <v>318</v>
      </c>
      <c r="K52" s="2" t="s">
        <v>365</v>
      </c>
      <c r="L52" s="2" t="s">
        <v>361</v>
      </c>
      <c r="M52" s="2" t="str">
        <f>IF(E52=L52,"YES","NO")</f>
        <v>YES</v>
      </c>
      <c r="N52" s="2" t="str">
        <f>IF(D52=K52,"YES","NO")</f>
        <v>YES</v>
      </c>
      <c r="O52" s="2" t="str">
        <f>IF(C52=G52,"YES","NO")</f>
        <v>YES</v>
      </c>
      <c r="P52" s="2">
        <v>65.94</v>
      </c>
      <c r="Q52" s="2">
        <v>1.83</v>
      </c>
      <c r="R52" s="2">
        <v>1.6</v>
      </c>
      <c r="S52" s="10">
        <f>1000/P52</f>
        <v>15.165301789505612</v>
      </c>
      <c r="T52" s="10">
        <f>36-S52</f>
        <v>20.834698210494388</v>
      </c>
      <c r="U52" s="10">
        <v>35.610919952392578</v>
      </c>
      <c r="V52" s="10">
        <v>35.458763122558594</v>
      </c>
      <c r="W52" s="10">
        <v>33.838092803955078</v>
      </c>
      <c r="X52" s="34">
        <f>1/U52</f>
        <v>2.808127398384757E-2</v>
      </c>
      <c r="Y52" s="34">
        <f>1/V52</f>
        <v>2.8201773325923139E-2</v>
      </c>
      <c r="Z52" s="36">
        <f>1/W52</f>
        <v>2.9552492978656218E-2</v>
      </c>
      <c r="AA52" s="36">
        <f>AVERAGE(X52:Z52)</f>
        <v>2.8611846762808979E-2</v>
      </c>
      <c r="AB52" s="2">
        <v>0</v>
      </c>
      <c r="AC52" s="2">
        <v>0</v>
      </c>
    </row>
    <row r="53" spans="1:29" x14ac:dyDescent="0.2">
      <c r="A53" s="2" t="s">
        <v>56</v>
      </c>
      <c r="B53" s="2">
        <v>52</v>
      </c>
      <c r="C53" s="2" t="s">
        <v>333</v>
      </c>
      <c r="D53" s="2" t="s">
        <v>366</v>
      </c>
      <c r="E53" s="2" t="s">
        <v>362</v>
      </c>
      <c r="F53" s="2" t="s">
        <v>249</v>
      </c>
      <c r="G53" s="2" t="s">
        <v>333</v>
      </c>
      <c r="H53" s="2" t="s">
        <v>249</v>
      </c>
      <c r="I53" s="2" t="str">
        <f>IF(F53=H53,"YES","NO")</f>
        <v>YES</v>
      </c>
      <c r="J53" s="2" t="s">
        <v>318</v>
      </c>
      <c r="K53" s="2" t="s">
        <v>366</v>
      </c>
      <c r="L53" s="2" t="s">
        <v>362</v>
      </c>
      <c r="M53" s="2" t="str">
        <f>IF(E53=L53,"YES","NO")</f>
        <v>YES</v>
      </c>
      <c r="N53" s="2" t="str">
        <f>IF(D53=K53,"YES","NO")</f>
        <v>YES</v>
      </c>
      <c r="O53" s="2" t="str">
        <f>IF(C53=G53,"YES","NO")</f>
        <v>YES</v>
      </c>
      <c r="P53" s="2">
        <v>79.959999999999994</v>
      </c>
      <c r="Q53" s="2">
        <v>1.86</v>
      </c>
      <c r="R53" s="2">
        <v>1.4</v>
      </c>
      <c r="S53" s="10">
        <f>1000/P53</f>
        <v>12.506253126563283</v>
      </c>
      <c r="T53" s="10">
        <f>36-S53</f>
        <v>23.493746873436717</v>
      </c>
      <c r="U53" s="17" t="s">
        <v>162</v>
      </c>
      <c r="V53" s="17">
        <v>34.826656341552734</v>
      </c>
      <c r="W53" s="17">
        <v>33.222965240478516</v>
      </c>
      <c r="X53" s="31" t="s">
        <v>192</v>
      </c>
      <c r="Y53" s="31">
        <f>1/V53</f>
        <v>2.8713637915531668E-2</v>
      </c>
      <c r="Z53" s="33">
        <f>1/W53</f>
        <v>3.009966126628608E-2</v>
      </c>
      <c r="AA53" s="33">
        <f>AVERAGE(X53:Z53)</f>
        <v>2.9406649590908874E-2</v>
      </c>
      <c r="AB53" s="2">
        <v>129</v>
      </c>
      <c r="AC53" s="2">
        <v>1.008629116454594</v>
      </c>
    </row>
    <row r="54" spans="1:29" x14ac:dyDescent="0.2">
      <c r="A54" s="2" t="s">
        <v>57</v>
      </c>
      <c r="B54" s="2">
        <v>53</v>
      </c>
      <c r="C54" s="2" t="s">
        <v>336</v>
      </c>
      <c r="D54" s="2" t="s">
        <v>367</v>
      </c>
      <c r="E54" s="2" t="s">
        <v>363</v>
      </c>
      <c r="F54" s="2" t="s">
        <v>250</v>
      </c>
      <c r="G54" s="2" t="s">
        <v>336</v>
      </c>
      <c r="H54" s="2" t="s">
        <v>250</v>
      </c>
      <c r="I54" s="2" t="str">
        <f>IF(F54=H54,"YES","NO")</f>
        <v>YES</v>
      </c>
      <c r="J54" s="2" t="s">
        <v>318</v>
      </c>
      <c r="K54" s="2" t="s">
        <v>367</v>
      </c>
      <c r="L54" s="2" t="s">
        <v>363</v>
      </c>
      <c r="M54" s="2" t="str">
        <f>IF(E54=L54,"YES","NO")</f>
        <v>YES</v>
      </c>
      <c r="N54" s="2" t="str">
        <f>IF(D54=K54,"YES","NO")</f>
        <v>YES</v>
      </c>
      <c r="O54" s="2" t="str">
        <f>IF(C54=G54,"YES","NO")</f>
        <v>YES</v>
      </c>
      <c r="P54" s="2">
        <v>127.2</v>
      </c>
      <c r="Q54" s="2">
        <v>1.83</v>
      </c>
      <c r="R54" s="2">
        <v>1.84</v>
      </c>
      <c r="S54" s="10">
        <f>1000/P54</f>
        <v>7.8616352201257858</v>
      </c>
      <c r="T54" s="10">
        <f>36-S54</f>
        <v>28.138364779874216</v>
      </c>
      <c r="U54" s="17">
        <v>35.603385925292969</v>
      </c>
      <c r="V54" s="17" t="s">
        <v>162</v>
      </c>
      <c r="W54" s="17" t="s">
        <v>162</v>
      </c>
      <c r="X54" s="31">
        <f>1/U54</f>
        <v>2.8087216257979299E-2</v>
      </c>
      <c r="Y54" s="31" t="s">
        <v>192</v>
      </c>
      <c r="Z54" s="31" t="s">
        <v>192</v>
      </c>
      <c r="AA54" s="33">
        <f>AVERAGE(X54:Z54)</f>
        <v>2.8087216257979299E-2</v>
      </c>
      <c r="AB54" s="2">
        <v>16</v>
      </c>
      <c r="AC54" s="2">
        <v>0.11740251619853979</v>
      </c>
    </row>
    <row r="55" spans="1:29" x14ac:dyDescent="0.2">
      <c r="A55" s="2" t="s">
        <v>58</v>
      </c>
      <c r="B55" s="2">
        <v>54</v>
      </c>
      <c r="C55" s="2" t="s">
        <v>333</v>
      </c>
      <c r="D55" s="2" t="s">
        <v>367</v>
      </c>
      <c r="E55" s="2" t="s">
        <v>363</v>
      </c>
      <c r="F55" s="2" t="s">
        <v>251</v>
      </c>
      <c r="G55" s="2" t="s">
        <v>333</v>
      </c>
      <c r="H55" s="2" t="s">
        <v>251</v>
      </c>
      <c r="I55" s="2" t="str">
        <f>IF(F55=H55,"YES","NO")</f>
        <v>YES</v>
      </c>
      <c r="J55" s="2" t="s">
        <v>318</v>
      </c>
      <c r="K55" s="2" t="s">
        <v>367</v>
      </c>
      <c r="L55" s="2" t="s">
        <v>363</v>
      </c>
      <c r="M55" s="2" t="str">
        <f>IF(E55=L55,"YES","NO")</f>
        <v>YES</v>
      </c>
      <c r="N55" s="2" t="str">
        <f>IF(D55=K55,"YES","NO")</f>
        <v>YES</v>
      </c>
      <c r="O55" s="2" t="str">
        <f>IF(C55=G55,"YES","NO")</f>
        <v>YES</v>
      </c>
      <c r="P55" s="2">
        <v>109.8</v>
      </c>
      <c r="Q55" s="2">
        <v>1.83</v>
      </c>
      <c r="R55" s="2">
        <v>1.6</v>
      </c>
      <c r="S55" s="10">
        <f>1000/P55</f>
        <v>9.1074681238615671</v>
      </c>
      <c r="T55" s="10">
        <f>36-S55</f>
        <v>26.892531876138435</v>
      </c>
      <c r="U55" s="17" t="s">
        <v>162</v>
      </c>
      <c r="V55" s="17">
        <v>34.261398315429688</v>
      </c>
      <c r="W55" s="17">
        <v>33.922538757324219</v>
      </c>
      <c r="X55" s="31" t="s">
        <v>192</v>
      </c>
      <c r="Y55" s="31">
        <f>1/V55</f>
        <v>2.9187366808366606E-2</v>
      </c>
      <c r="Z55" s="33">
        <f>1/W55</f>
        <v>2.947892571230654E-2</v>
      </c>
      <c r="AA55" s="33">
        <f>AVERAGE(X55:Z55)</f>
        <v>2.9333146260336573E-2</v>
      </c>
      <c r="AB55" s="2">
        <v>0</v>
      </c>
      <c r="AC55" s="2">
        <v>0</v>
      </c>
    </row>
    <row r="56" spans="1:29" x14ac:dyDescent="0.2">
      <c r="A56" s="2" t="s">
        <v>59</v>
      </c>
      <c r="B56" s="2">
        <v>55</v>
      </c>
      <c r="C56" s="2" t="s">
        <v>341</v>
      </c>
      <c r="D56" s="2" t="s">
        <v>365</v>
      </c>
      <c r="E56" s="2" t="s">
        <v>361</v>
      </c>
      <c r="F56" s="2" t="s">
        <v>252</v>
      </c>
      <c r="G56" s="2" t="s">
        <v>341</v>
      </c>
      <c r="H56" s="2" t="s">
        <v>252</v>
      </c>
      <c r="I56" s="2" t="str">
        <f>IF(F56=H56,"YES","NO")</f>
        <v>YES</v>
      </c>
      <c r="J56" s="2" t="s">
        <v>318</v>
      </c>
      <c r="K56" s="2" t="s">
        <v>365</v>
      </c>
      <c r="L56" s="2" t="s">
        <v>361</v>
      </c>
      <c r="M56" s="2" t="str">
        <f>IF(E56=L56,"YES","NO")</f>
        <v>YES</v>
      </c>
      <c r="N56" s="2" t="str">
        <f>IF(D56=K56,"YES","NO")</f>
        <v>YES</v>
      </c>
      <c r="O56" s="2" t="str">
        <f>IF(C56=G56,"YES","NO")</f>
        <v>YES</v>
      </c>
      <c r="P56" s="2">
        <v>88.72</v>
      </c>
      <c r="Q56" s="2">
        <v>1.82</v>
      </c>
      <c r="R56" s="2">
        <v>1.68</v>
      </c>
      <c r="S56" s="10">
        <f>1000/P56</f>
        <v>11.27141568981064</v>
      </c>
      <c r="T56" s="10">
        <f>36-S56</f>
        <v>24.728584310189362</v>
      </c>
      <c r="U56" s="10" t="s">
        <v>162</v>
      </c>
      <c r="V56" s="10" t="s">
        <v>162</v>
      </c>
      <c r="W56" s="10" t="s">
        <v>162</v>
      </c>
      <c r="X56" s="39">
        <v>0</v>
      </c>
      <c r="Y56" s="39">
        <v>0</v>
      </c>
      <c r="Z56" s="39">
        <v>0</v>
      </c>
      <c r="AA56" s="39">
        <v>0</v>
      </c>
      <c r="AB56" s="2">
        <v>0</v>
      </c>
      <c r="AC56" s="2">
        <v>0</v>
      </c>
    </row>
    <row r="57" spans="1:29" x14ac:dyDescent="0.2">
      <c r="A57" s="2" t="s">
        <v>60</v>
      </c>
      <c r="B57" s="2">
        <v>56</v>
      </c>
      <c r="C57" s="2" t="s">
        <v>342</v>
      </c>
      <c r="D57" s="2" t="s">
        <v>367</v>
      </c>
      <c r="E57" s="2" t="s">
        <v>363</v>
      </c>
      <c r="F57" s="2" t="s">
        <v>253</v>
      </c>
      <c r="G57" s="2" t="s">
        <v>342</v>
      </c>
      <c r="H57" s="2" t="s">
        <v>253</v>
      </c>
      <c r="I57" s="2" t="str">
        <f>IF(F57=H57,"YES","NO")</f>
        <v>YES</v>
      </c>
      <c r="J57" s="2" t="s">
        <v>318</v>
      </c>
      <c r="K57" s="2" t="s">
        <v>367</v>
      </c>
      <c r="L57" s="2" t="s">
        <v>363</v>
      </c>
      <c r="M57" s="2" t="str">
        <f>IF(E57=L57,"YES","NO")</f>
        <v>YES</v>
      </c>
      <c r="N57" s="2" t="str">
        <f>IF(D57=K57,"YES","NO")</f>
        <v>YES</v>
      </c>
      <c r="O57" s="2" t="str">
        <f>IF(C57=G57,"YES","NO")</f>
        <v>YES</v>
      </c>
      <c r="P57" s="2">
        <v>287.10000000000002</v>
      </c>
      <c r="Q57" s="2">
        <v>1.88</v>
      </c>
      <c r="R57" s="2">
        <v>1.98</v>
      </c>
      <c r="S57" s="10">
        <f>1000/P57</f>
        <v>3.4831069313827934</v>
      </c>
      <c r="T57" s="10">
        <f>36-S57</f>
        <v>32.516893068617208</v>
      </c>
      <c r="U57" s="17" t="s">
        <v>162</v>
      </c>
      <c r="V57" s="17">
        <v>35.853412628173828</v>
      </c>
      <c r="W57" s="17">
        <v>35.798591613769531</v>
      </c>
      <c r="X57" s="31" t="s">
        <v>192</v>
      </c>
      <c r="Y57" s="31">
        <f>1/V57</f>
        <v>2.7891347760134664E-2</v>
      </c>
      <c r="Z57" s="33">
        <f>1/W57</f>
        <v>2.7934059830872261E-2</v>
      </c>
      <c r="AA57" s="33">
        <f>AVERAGE(X57:Z57)</f>
        <v>2.7912703795503462E-2</v>
      </c>
      <c r="AB57" s="2">
        <v>0</v>
      </c>
      <c r="AC57" s="2">
        <v>0</v>
      </c>
    </row>
    <row r="58" spans="1:29" x14ac:dyDescent="0.2">
      <c r="A58" s="2" t="s">
        <v>61</v>
      </c>
      <c r="B58" s="2">
        <v>57</v>
      </c>
      <c r="C58" s="2" t="s">
        <v>342</v>
      </c>
      <c r="D58" s="2" t="s">
        <v>365</v>
      </c>
      <c r="E58" s="2" t="s">
        <v>361</v>
      </c>
      <c r="F58" s="2" t="s">
        <v>254</v>
      </c>
      <c r="G58" s="2" t="s">
        <v>342</v>
      </c>
      <c r="H58" s="2" t="s">
        <v>254</v>
      </c>
      <c r="I58" s="2" t="str">
        <f>IF(F58=H58,"YES","NO")</f>
        <v>YES</v>
      </c>
      <c r="J58" s="2" t="s">
        <v>318</v>
      </c>
      <c r="K58" s="2" t="s">
        <v>365</v>
      </c>
      <c r="L58" s="2" t="s">
        <v>361</v>
      </c>
      <c r="M58" s="2" t="str">
        <f>IF(E58=L58,"YES","NO")</f>
        <v>YES</v>
      </c>
      <c r="N58" s="2" t="str">
        <f>IF(D58=K58,"YES","NO")</f>
        <v>YES</v>
      </c>
      <c r="O58" s="2" t="str">
        <f>IF(C58=G58,"YES","NO")</f>
        <v>YES</v>
      </c>
      <c r="P58" s="2">
        <v>98.83</v>
      </c>
      <c r="Q58" s="2">
        <v>1.85</v>
      </c>
      <c r="R58" s="2">
        <v>1.64</v>
      </c>
      <c r="S58" s="10">
        <f>1000/P58</f>
        <v>10.118385105737124</v>
      </c>
      <c r="T58" s="10">
        <f>36-S58</f>
        <v>25.881614894262874</v>
      </c>
      <c r="U58" s="17" t="s">
        <v>162</v>
      </c>
      <c r="V58" s="17">
        <v>34.901561737060547</v>
      </c>
      <c r="W58" s="17">
        <v>34.880699157714844</v>
      </c>
      <c r="X58" s="31" t="s">
        <v>192</v>
      </c>
      <c r="Y58" s="31">
        <f>1/V58</f>
        <v>2.8652012982506189E-2</v>
      </c>
      <c r="Z58" s="33">
        <f>1/W58</f>
        <v>2.8669150107297148E-2</v>
      </c>
      <c r="AA58" s="33">
        <f>AVERAGE(X58:Z58)</f>
        <v>2.866058154490167E-2</v>
      </c>
      <c r="AB58" s="2">
        <v>0</v>
      </c>
      <c r="AC58" s="2">
        <v>0</v>
      </c>
    </row>
    <row r="59" spans="1:29" x14ac:dyDescent="0.2">
      <c r="A59" s="2" t="s">
        <v>62</v>
      </c>
      <c r="B59" s="2">
        <v>58</v>
      </c>
      <c r="C59" s="2" t="s">
        <v>342</v>
      </c>
      <c r="D59" s="2" t="s">
        <v>366</v>
      </c>
      <c r="E59" s="2" t="s">
        <v>362</v>
      </c>
      <c r="F59" s="2" t="s">
        <v>255</v>
      </c>
      <c r="G59" s="2" t="s">
        <v>342</v>
      </c>
      <c r="H59" s="2" t="s">
        <v>255</v>
      </c>
      <c r="I59" s="2" t="str">
        <f>IF(F59=H59,"YES","NO")</f>
        <v>YES</v>
      </c>
      <c r="J59" s="2" t="s">
        <v>318</v>
      </c>
      <c r="K59" s="2" t="s">
        <v>366</v>
      </c>
      <c r="L59" s="2" t="s">
        <v>362</v>
      </c>
      <c r="M59" s="2" t="str">
        <f>IF(E59=L59,"YES","NO")</f>
        <v>YES</v>
      </c>
      <c r="N59" s="2" t="str">
        <f>IF(D59=K59,"YES","NO")</f>
        <v>YES</v>
      </c>
      <c r="O59" s="2" t="str">
        <f>IF(C59=G59,"YES","NO")</f>
        <v>YES</v>
      </c>
      <c r="P59" s="2">
        <v>185.4</v>
      </c>
      <c r="Q59" s="2">
        <v>1.89</v>
      </c>
      <c r="R59" s="2">
        <v>1.95</v>
      </c>
      <c r="S59" s="10">
        <f>1000/P59</f>
        <v>5.3937432578209279</v>
      </c>
      <c r="T59" s="10">
        <f>36-S59</f>
        <v>30.60625674217907</v>
      </c>
      <c r="U59" s="10">
        <v>35.50506591796875</v>
      </c>
      <c r="V59" s="10">
        <v>34.761032104492188</v>
      </c>
      <c r="W59" s="10">
        <v>35.666461944580078</v>
      </c>
      <c r="X59" s="34">
        <f>1/U59</f>
        <v>2.816499488581178E-2</v>
      </c>
      <c r="Y59" s="34">
        <f>1/V59</f>
        <v>2.8767845471158189E-2</v>
      </c>
      <c r="Z59" s="36">
        <f>1/W59</f>
        <v>2.8037544109472887E-2</v>
      </c>
      <c r="AA59" s="36">
        <f>AVERAGE(X59:Z59)</f>
        <v>2.8323461488814285E-2</v>
      </c>
      <c r="AB59" s="2">
        <v>18</v>
      </c>
      <c r="AC59" s="2">
        <v>0.1109569534650677</v>
      </c>
    </row>
    <row r="60" spans="1:29" x14ac:dyDescent="0.2">
      <c r="A60" s="2" t="s">
        <v>63</v>
      </c>
      <c r="B60" s="2">
        <v>59</v>
      </c>
      <c r="C60" s="2" t="s">
        <v>332</v>
      </c>
      <c r="D60" s="2" t="s">
        <v>367</v>
      </c>
      <c r="E60" s="2" t="s">
        <v>363</v>
      </c>
      <c r="F60" s="2" t="s">
        <v>256</v>
      </c>
      <c r="G60" s="2" t="s">
        <v>332</v>
      </c>
      <c r="H60" s="2" t="s">
        <v>256</v>
      </c>
      <c r="I60" s="2" t="str">
        <f>IF(F60=H60,"YES","NO")</f>
        <v>YES</v>
      </c>
      <c r="J60" s="2" t="s">
        <v>318</v>
      </c>
      <c r="K60" s="2" t="s">
        <v>367</v>
      </c>
      <c r="L60" s="2" t="s">
        <v>363</v>
      </c>
      <c r="M60" s="2" t="str">
        <f>IF(E60=L60,"YES","NO")</f>
        <v>YES</v>
      </c>
      <c r="N60" s="2" t="str">
        <f>IF(D60=K60,"YES","NO")</f>
        <v>YES</v>
      </c>
      <c r="O60" s="2" t="str">
        <f>IF(C60=G60,"YES","NO")</f>
        <v>YES</v>
      </c>
      <c r="P60" s="2">
        <v>62.66</v>
      </c>
      <c r="Q60" s="2">
        <v>1.87</v>
      </c>
      <c r="R60" s="2">
        <v>1.59</v>
      </c>
      <c r="S60" s="10">
        <f>1000/P60</f>
        <v>15.959144589849984</v>
      </c>
      <c r="T60" s="10">
        <f>36-S60</f>
        <v>20.040855410150016</v>
      </c>
      <c r="U60" s="17">
        <v>33.254257202148438</v>
      </c>
      <c r="V60" s="17" t="s">
        <v>162</v>
      </c>
      <c r="W60" s="17" t="s">
        <v>162</v>
      </c>
      <c r="X60" s="31">
        <f>1/U60</f>
        <v>3.0071337751468211E-2</v>
      </c>
      <c r="Y60" s="31" t="s">
        <v>192</v>
      </c>
      <c r="Z60" s="31" t="s">
        <v>192</v>
      </c>
      <c r="AA60" s="33">
        <f>AVERAGE(X60:Z60)</f>
        <v>3.0071337751468211E-2</v>
      </c>
      <c r="AB60" s="2">
        <v>0</v>
      </c>
      <c r="AC60" s="2">
        <v>0</v>
      </c>
    </row>
    <row r="61" spans="1:29" x14ac:dyDescent="0.2">
      <c r="A61" s="2" t="s">
        <v>64</v>
      </c>
      <c r="B61" s="2">
        <v>60</v>
      </c>
      <c r="C61" s="2" t="s">
        <v>332</v>
      </c>
      <c r="D61" s="2" t="s">
        <v>366</v>
      </c>
      <c r="E61" s="2" t="s">
        <v>362</v>
      </c>
      <c r="F61" s="2" t="s">
        <v>257</v>
      </c>
      <c r="G61" s="2" t="s">
        <v>332</v>
      </c>
      <c r="H61" s="2" t="s">
        <v>257</v>
      </c>
      <c r="I61" s="2" t="str">
        <f>IF(F61=H61,"YES","NO")</f>
        <v>YES</v>
      </c>
      <c r="J61" s="2" t="s">
        <v>318</v>
      </c>
      <c r="K61" s="2" t="s">
        <v>366</v>
      </c>
      <c r="L61" s="2" t="s">
        <v>362</v>
      </c>
      <c r="M61" s="2" t="str">
        <f>IF(E61=L61,"YES","NO")</f>
        <v>YES</v>
      </c>
      <c r="N61" s="2" t="str">
        <f>IF(D61=K61,"YES","NO")</f>
        <v>YES</v>
      </c>
      <c r="O61" s="2" t="str">
        <f>IF(C61=G61,"YES","NO")</f>
        <v>YES</v>
      </c>
      <c r="P61" s="2">
        <v>128.4</v>
      </c>
      <c r="Q61" s="2">
        <v>1.91</v>
      </c>
      <c r="R61" s="2">
        <v>1.94</v>
      </c>
      <c r="S61" s="10">
        <f>1000/P61</f>
        <v>7.7881619937694699</v>
      </c>
      <c r="T61" s="10">
        <f>36-S61</f>
        <v>28.211838006230529</v>
      </c>
      <c r="U61" s="10" t="s">
        <v>162</v>
      </c>
      <c r="V61" s="10" t="s">
        <v>162</v>
      </c>
      <c r="W61" s="10" t="s">
        <v>162</v>
      </c>
      <c r="X61" s="39">
        <v>0</v>
      </c>
      <c r="Y61" s="39">
        <v>0</v>
      </c>
      <c r="Z61" s="39">
        <v>0</v>
      </c>
      <c r="AA61" s="39">
        <v>0</v>
      </c>
      <c r="AB61" s="2">
        <v>0</v>
      </c>
      <c r="AC61" s="2">
        <v>0</v>
      </c>
    </row>
    <row r="62" spans="1:29" x14ac:dyDescent="0.2">
      <c r="A62" s="2" t="s">
        <v>65</v>
      </c>
      <c r="B62" s="2">
        <v>61</v>
      </c>
      <c r="C62" s="2" t="s">
        <v>343</v>
      </c>
      <c r="D62" s="2" t="s">
        <v>366</v>
      </c>
      <c r="E62" s="2" t="s">
        <v>362</v>
      </c>
      <c r="F62" s="2" t="s">
        <v>258</v>
      </c>
      <c r="G62" s="2" t="s">
        <v>343</v>
      </c>
      <c r="H62" s="2" t="s">
        <v>258</v>
      </c>
      <c r="I62" s="2" t="str">
        <f>IF(F62=H62,"YES","NO")</f>
        <v>YES</v>
      </c>
      <c r="J62" s="2" t="s">
        <v>318</v>
      </c>
      <c r="K62" s="2" t="s">
        <v>366</v>
      </c>
      <c r="L62" s="2" t="s">
        <v>362</v>
      </c>
      <c r="M62" s="2" t="str">
        <f>IF(E62=L62,"YES","NO")</f>
        <v>YES</v>
      </c>
      <c r="N62" s="2" t="str">
        <f>IF(D62=K62,"YES","NO")</f>
        <v>YES</v>
      </c>
      <c r="O62" s="2" t="str">
        <f>IF(C62=G62,"YES","NO")</f>
        <v>YES</v>
      </c>
      <c r="P62" s="2">
        <v>264.5</v>
      </c>
      <c r="Q62" s="2">
        <v>1.85</v>
      </c>
      <c r="R62" s="2">
        <v>1.86</v>
      </c>
      <c r="S62" s="10">
        <f>1000/P62</f>
        <v>3.7807183364839321</v>
      </c>
      <c r="T62" s="10">
        <f>36-S62</f>
        <v>32.219281663516071</v>
      </c>
      <c r="U62" s="10" t="s">
        <v>162</v>
      </c>
      <c r="V62" s="10" t="s">
        <v>162</v>
      </c>
      <c r="W62" s="10" t="s">
        <v>162</v>
      </c>
      <c r="X62" s="39">
        <v>0</v>
      </c>
      <c r="Y62" s="39">
        <v>0</v>
      </c>
      <c r="Z62" s="39">
        <v>0</v>
      </c>
      <c r="AA62" s="39">
        <v>0</v>
      </c>
      <c r="AB62" s="2">
        <v>0</v>
      </c>
      <c r="AC62" s="2">
        <v>0</v>
      </c>
    </row>
    <row r="63" spans="1:29" x14ac:dyDescent="0.2">
      <c r="A63" s="2" t="s">
        <v>66</v>
      </c>
      <c r="B63" s="2">
        <v>62</v>
      </c>
      <c r="C63" s="2" t="s">
        <v>343</v>
      </c>
      <c r="D63" s="2" t="s">
        <v>365</v>
      </c>
      <c r="E63" s="2" t="s">
        <v>361</v>
      </c>
      <c r="F63" s="2" t="s">
        <v>259</v>
      </c>
      <c r="G63" s="2" t="s">
        <v>343</v>
      </c>
      <c r="H63" s="2" t="s">
        <v>259</v>
      </c>
      <c r="I63" s="2" t="str">
        <f>IF(F63=H63,"YES","NO")</f>
        <v>YES</v>
      </c>
      <c r="J63" s="2" t="s">
        <v>318</v>
      </c>
      <c r="K63" s="2" t="s">
        <v>365</v>
      </c>
      <c r="L63" s="2" t="s">
        <v>361</v>
      </c>
      <c r="M63" s="2" t="str">
        <f>IF(E63=L63,"YES","NO")</f>
        <v>YES</v>
      </c>
      <c r="N63" s="2" t="str">
        <f>IF(D63=K63,"YES","NO")</f>
        <v>YES</v>
      </c>
      <c r="O63" s="2" t="str">
        <f>IF(C63=G63,"YES","NO")</f>
        <v>YES</v>
      </c>
      <c r="P63" s="2">
        <v>167.6</v>
      </c>
      <c r="Q63" s="2">
        <v>1.89</v>
      </c>
      <c r="R63" s="2">
        <v>1.89</v>
      </c>
      <c r="S63" s="10">
        <f>1000/P63</f>
        <v>5.9665871121718377</v>
      </c>
      <c r="T63" s="10">
        <f>36-S63</f>
        <v>30.033412887828163</v>
      </c>
      <c r="U63" s="10" t="s">
        <v>162</v>
      </c>
      <c r="V63" s="10" t="s">
        <v>162</v>
      </c>
      <c r="W63" s="10" t="s">
        <v>162</v>
      </c>
      <c r="X63" s="39">
        <v>0</v>
      </c>
      <c r="Y63" s="39">
        <v>0</v>
      </c>
      <c r="Z63" s="39">
        <v>0</v>
      </c>
      <c r="AA63" s="39">
        <v>0</v>
      </c>
      <c r="AB63" s="2">
        <v>0</v>
      </c>
      <c r="AC63" s="2">
        <v>0</v>
      </c>
    </row>
    <row r="64" spans="1:29" x14ac:dyDescent="0.2">
      <c r="A64" s="2" t="s">
        <v>67</v>
      </c>
      <c r="B64" s="2">
        <v>63</v>
      </c>
      <c r="C64" s="2" t="s">
        <v>343</v>
      </c>
      <c r="D64" s="2" t="s">
        <v>367</v>
      </c>
      <c r="E64" s="2" t="s">
        <v>363</v>
      </c>
      <c r="F64" s="2" t="s">
        <v>260</v>
      </c>
      <c r="G64" s="2" t="s">
        <v>343</v>
      </c>
      <c r="H64" s="2" t="s">
        <v>260</v>
      </c>
      <c r="I64" s="2" t="str">
        <f>IF(F64=H64,"YES","NO")</f>
        <v>YES</v>
      </c>
      <c r="J64" s="2" t="s">
        <v>318</v>
      </c>
      <c r="K64" s="2" t="s">
        <v>367</v>
      </c>
      <c r="L64" s="2" t="s">
        <v>363</v>
      </c>
      <c r="M64" s="2" t="str">
        <f>IF(E64=L64,"YES","NO")</f>
        <v>YES</v>
      </c>
      <c r="N64" s="2" t="str">
        <f>IF(D64=K64,"YES","NO")</f>
        <v>YES</v>
      </c>
      <c r="O64" s="2" t="str">
        <f>IF(C64=G64,"YES","NO")</f>
        <v>YES</v>
      </c>
      <c r="P64" s="2">
        <v>146.9</v>
      </c>
      <c r="Q64" s="2">
        <v>1.84</v>
      </c>
      <c r="R64" s="2">
        <v>1.75</v>
      </c>
      <c r="S64" s="10">
        <f>1000/P64</f>
        <v>6.8073519400953026</v>
      </c>
      <c r="T64" s="10">
        <f>36-S64</f>
        <v>29.192648059904698</v>
      </c>
      <c r="U64" s="10" t="s">
        <v>162</v>
      </c>
      <c r="V64" s="10" t="s">
        <v>162</v>
      </c>
      <c r="W64" s="10" t="s">
        <v>162</v>
      </c>
      <c r="X64" s="39">
        <v>0</v>
      </c>
      <c r="Y64" s="39">
        <v>0</v>
      </c>
      <c r="Z64" s="39">
        <v>0</v>
      </c>
      <c r="AA64" s="39">
        <v>0</v>
      </c>
      <c r="AB64" s="2">
        <v>0</v>
      </c>
      <c r="AC64" s="2">
        <v>0</v>
      </c>
    </row>
    <row r="65" spans="1:29" x14ac:dyDescent="0.2">
      <c r="A65" s="2" t="s">
        <v>68</v>
      </c>
      <c r="B65" s="2">
        <v>64</v>
      </c>
      <c r="C65" s="2" t="s">
        <v>339</v>
      </c>
      <c r="D65" s="2" t="s">
        <v>367</v>
      </c>
      <c r="E65" s="2" t="s">
        <v>363</v>
      </c>
      <c r="F65" s="2" t="s">
        <v>261</v>
      </c>
      <c r="G65" s="2" t="s">
        <v>339</v>
      </c>
      <c r="H65" s="2" t="s">
        <v>261</v>
      </c>
      <c r="I65" s="2" t="str">
        <f>IF(F65=H65,"YES","NO")</f>
        <v>YES</v>
      </c>
      <c r="J65" s="2" t="s">
        <v>318</v>
      </c>
      <c r="K65" s="2" t="s">
        <v>367</v>
      </c>
      <c r="L65" s="2" t="s">
        <v>363</v>
      </c>
      <c r="M65" s="2" t="str">
        <f>IF(E65=L65,"YES","NO")</f>
        <v>YES</v>
      </c>
      <c r="N65" s="2" t="str">
        <f>IF(D65=K65,"YES","NO")</f>
        <v>YES</v>
      </c>
      <c r="O65" s="2" t="str">
        <f>IF(C65=G65,"YES","NO")</f>
        <v>YES</v>
      </c>
      <c r="P65" s="2">
        <v>98.77</v>
      </c>
      <c r="Q65" s="2">
        <v>1.84</v>
      </c>
      <c r="R65" s="2">
        <v>1.59</v>
      </c>
      <c r="S65" s="10">
        <f>1000/P65</f>
        <v>10.124531740407006</v>
      </c>
      <c r="T65" s="10">
        <f>36-S65</f>
        <v>25.875468259592992</v>
      </c>
      <c r="U65" s="17" t="s">
        <v>162</v>
      </c>
      <c r="V65" s="17">
        <v>31.983901977539062</v>
      </c>
      <c r="W65" s="17">
        <v>31.951259613037109</v>
      </c>
      <c r="X65" s="31" t="s">
        <v>192</v>
      </c>
      <c r="Y65" s="31">
        <f>1/V65</f>
        <v>3.1265728637558284E-2</v>
      </c>
      <c r="Z65" s="33">
        <f>1/W65</f>
        <v>3.1297670643068133E-2</v>
      </c>
      <c r="AA65" s="33">
        <f>AVERAGE(X65:Z65)</f>
        <v>3.1281699640313208E-2</v>
      </c>
      <c r="AB65" s="2">
        <v>28</v>
      </c>
      <c r="AC65" s="2">
        <v>0.1879609683103769</v>
      </c>
    </row>
    <row r="66" spans="1:29" x14ac:dyDescent="0.2">
      <c r="A66" s="2" t="s">
        <v>69</v>
      </c>
      <c r="B66" s="2">
        <v>65</v>
      </c>
      <c r="C66" s="2" t="s">
        <v>339</v>
      </c>
      <c r="D66" s="2" t="s">
        <v>366</v>
      </c>
      <c r="E66" s="2" t="s">
        <v>362</v>
      </c>
      <c r="F66" s="2" t="s">
        <v>262</v>
      </c>
      <c r="G66" s="2" t="s">
        <v>339</v>
      </c>
      <c r="H66" s="2" t="s">
        <v>262</v>
      </c>
      <c r="I66" s="2" t="str">
        <f>IF(F66=H66,"YES","NO")</f>
        <v>YES</v>
      </c>
      <c r="J66" s="2" t="s">
        <v>318</v>
      </c>
      <c r="K66" s="2" t="s">
        <v>366</v>
      </c>
      <c r="L66" s="2" t="s">
        <v>362</v>
      </c>
      <c r="M66" s="2" t="str">
        <f>IF(E66=L66,"YES","NO")</f>
        <v>YES</v>
      </c>
      <c r="N66" s="2" t="str">
        <f>IF(D66=K66,"YES","NO")</f>
        <v>YES</v>
      </c>
      <c r="O66" s="2" t="str">
        <f>IF(C66=G66,"YES","NO")</f>
        <v>YES</v>
      </c>
      <c r="P66" s="2">
        <v>108</v>
      </c>
      <c r="Q66" s="2">
        <v>1.87</v>
      </c>
      <c r="R66" s="2">
        <v>1.66</v>
      </c>
      <c r="S66" s="10">
        <f>1000/P66</f>
        <v>9.2592592592592595</v>
      </c>
      <c r="T66" s="10">
        <f>36-S66</f>
        <v>26.74074074074074</v>
      </c>
      <c r="U66" s="10">
        <v>32.859798431396484</v>
      </c>
      <c r="V66" s="10">
        <v>33.300884246826172</v>
      </c>
      <c r="W66" s="10">
        <v>32.56890869140625</v>
      </c>
      <c r="X66" s="34">
        <f>1/U66</f>
        <v>3.0432323012807409E-2</v>
      </c>
      <c r="Y66" s="34">
        <f>1/V66</f>
        <v>3.0029232635025528E-2</v>
      </c>
      <c r="Z66" s="36">
        <f>1/W66</f>
        <v>3.0704129802908122E-2</v>
      </c>
      <c r="AA66" s="36">
        <f>AVERAGE(X66:Z66)</f>
        <v>3.0388561816913687E-2</v>
      </c>
      <c r="AB66" s="2">
        <v>66</v>
      </c>
      <c r="AC66" s="2">
        <v>0.47483373246485139</v>
      </c>
    </row>
    <row r="67" spans="1:29" x14ac:dyDescent="0.2">
      <c r="A67" s="2" t="s">
        <v>70</v>
      </c>
      <c r="B67" s="2">
        <v>66</v>
      </c>
      <c r="C67" s="2" t="s">
        <v>338</v>
      </c>
      <c r="D67" s="2" t="s">
        <v>365</v>
      </c>
      <c r="E67" s="2" t="s">
        <v>361</v>
      </c>
      <c r="F67" s="2" t="s">
        <v>263</v>
      </c>
      <c r="G67" s="2" t="s">
        <v>338</v>
      </c>
      <c r="H67" s="2" t="s">
        <v>263</v>
      </c>
      <c r="I67" s="2" t="str">
        <f>IF(F67=H67,"YES","NO")</f>
        <v>YES</v>
      </c>
      <c r="J67" s="2" t="s">
        <v>318</v>
      </c>
      <c r="K67" s="2" t="s">
        <v>365</v>
      </c>
      <c r="L67" s="2" t="s">
        <v>361</v>
      </c>
      <c r="M67" s="2" t="str">
        <f>IF(E67=L67,"YES","NO")</f>
        <v>YES</v>
      </c>
      <c r="N67" s="2" t="str">
        <f>IF(D67=K67,"YES","NO")</f>
        <v>YES</v>
      </c>
      <c r="O67" s="2" t="str">
        <f>IF(C67=G67,"YES","NO")</f>
        <v>YES</v>
      </c>
      <c r="P67" s="2">
        <v>46.23</v>
      </c>
      <c r="Q67" s="2">
        <v>1.88</v>
      </c>
      <c r="R67" s="2">
        <v>1.49</v>
      </c>
      <c r="S67" s="10">
        <f>1000/P67</f>
        <v>21.630975556997623</v>
      </c>
      <c r="T67" s="10">
        <f>36-S67</f>
        <v>14.369024443002377</v>
      </c>
      <c r="U67" s="17" t="s">
        <v>162</v>
      </c>
      <c r="V67" s="17">
        <v>35.757404327392578</v>
      </c>
      <c r="W67" s="17">
        <v>35.716789245605469</v>
      </c>
      <c r="X67" s="31" t="s">
        <v>192</v>
      </c>
      <c r="Y67" s="31">
        <f>1/V67</f>
        <v>2.7966235771591862E-2</v>
      </c>
      <c r="Z67" s="33">
        <f>1/W67</f>
        <v>2.7998037369023541E-2</v>
      </c>
      <c r="AA67" s="33">
        <f>AVERAGE(X67:Z67)</f>
        <v>2.7982136570307702E-2</v>
      </c>
      <c r="AB67" s="2">
        <v>26</v>
      </c>
      <c r="AC67" s="2">
        <v>0.21723557571961269</v>
      </c>
    </row>
    <row r="68" spans="1:29" x14ac:dyDescent="0.2">
      <c r="A68" s="2" t="s">
        <v>71</v>
      </c>
      <c r="B68" s="2">
        <v>67</v>
      </c>
      <c r="C68" s="2" t="s">
        <v>344</v>
      </c>
      <c r="D68" s="2" t="s">
        <v>365</v>
      </c>
      <c r="E68" s="2" t="s">
        <v>361</v>
      </c>
      <c r="F68" s="2" t="s">
        <v>264</v>
      </c>
      <c r="G68" s="2" t="s">
        <v>344</v>
      </c>
      <c r="H68" s="2" t="s">
        <v>264</v>
      </c>
      <c r="I68" s="2" t="str">
        <f>IF(F68=H68,"YES","NO")</f>
        <v>YES</v>
      </c>
      <c r="J68" s="2" t="s">
        <v>318</v>
      </c>
      <c r="K68" s="2" t="s">
        <v>365</v>
      </c>
      <c r="L68" s="2" t="s">
        <v>361</v>
      </c>
      <c r="M68" s="2" t="str">
        <f>IF(E68=L68,"YES","NO")</f>
        <v>YES</v>
      </c>
      <c r="N68" s="2" t="str">
        <f>IF(D68=K68,"YES","NO")</f>
        <v>YES</v>
      </c>
      <c r="O68" s="2" t="str">
        <f>IF(C68=G68,"YES","NO")</f>
        <v>YES</v>
      </c>
      <c r="P68" s="2">
        <v>127.2</v>
      </c>
      <c r="Q68" s="2">
        <v>1.85</v>
      </c>
      <c r="R68" s="2">
        <v>1.72</v>
      </c>
      <c r="S68" s="10">
        <f>1000/P68</f>
        <v>7.8616352201257858</v>
      </c>
      <c r="T68" s="10">
        <f>36-S68</f>
        <v>28.138364779874216</v>
      </c>
      <c r="U68" s="17">
        <v>33.695934295654297</v>
      </c>
      <c r="V68" s="17">
        <v>35.863670349121094</v>
      </c>
      <c r="W68" s="17" t="s">
        <v>162</v>
      </c>
      <c r="X68" s="31">
        <f>1/U68</f>
        <v>2.9677170878415683E-2</v>
      </c>
      <c r="Y68" s="31">
        <f>1/V68</f>
        <v>2.7883370281550305E-2</v>
      </c>
      <c r="Z68" s="31" t="s">
        <v>192</v>
      </c>
      <c r="AA68" s="33">
        <f>AVERAGE(X68:Z68)</f>
        <v>2.8780270579982996E-2</v>
      </c>
      <c r="AB68" s="2">
        <v>244</v>
      </c>
      <c r="AC68" s="2">
        <v>2.053692857207674</v>
      </c>
    </row>
    <row r="69" spans="1:29" x14ac:dyDescent="0.2">
      <c r="A69" s="2" t="s">
        <v>72</v>
      </c>
      <c r="B69" s="2">
        <v>68</v>
      </c>
      <c r="C69" s="2" t="s">
        <v>337</v>
      </c>
      <c r="D69" s="2" t="s">
        <v>366</v>
      </c>
      <c r="E69" s="2" t="s">
        <v>362</v>
      </c>
      <c r="F69" s="2" t="s">
        <v>265</v>
      </c>
      <c r="G69" s="2" t="s">
        <v>337</v>
      </c>
      <c r="H69" s="2" t="s">
        <v>265</v>
      </c>
      <c r="I69" s="2" t="str">
        <f>IF(F69=H69,"YES","NO")</f>
        <v>YES</v>
      </c>
      <c r="J69" s="2" t="s">
        <v>318</v>
      </c>
      <c r="K69" s="2" t="s">
        <v>366</v>
      </c>
      <c r="L69" s="2" t="s">
        <v>362</v>
      </c>
      <c r="M69" s="2" t="str">
        <f>IF(E69=L69,"YES","NO")</f>
        <v>YES</v>
      </c>
      <c r="N69" s="2" t="str">
        <f>IF(D69=K69,"YES","NO")</f>
        <v>YES</v>
      </c>
      <c r="O69" s="2" t="str">
        <f>IF(C69=G69,"YES","NO")</f>
        <v>YES</v>
      </c>
      <c r="P69" s="2">
        <v>94.73</v>
      </c>
      <c r="Q69" s="2">
        <v>1.91</v>
      </c>
      <c r="R69" s="2">
        <v>1.77</v>
      </c>
      <c r="S69" s="10">
        <f>1000/P69</f>
        <v>10.556317956296843</v>
      </c>
      <c r="T69" s="10">
        <f>36-S69</f>
        <v>25.443682043703156</v>
      </c>
      <c r="U69" s="10" t="s">
        <v>162</v>
      </c>
      <c r="V69" s="10" t="s">
        <v>162</v>
      </c>
      <c r="W69" s="10" t="s">
        <v>162</v>
      </c>
      <c r="X69" s="39">
        <v>0</v>
      </c>
      <c r="Y69" s="39">
        <v>0</v>
      </c>
      <c r="Z69" s="39">
        <v>0</v>
      </c>
      <c r="AA69" s="39">
        <v>0</v>
      </c>
      <c r="AB69" s="2">
        <v>0</v>
      </c>
      <c r="AC69" s="2">
        <v>0</v>
      </c>
    </row>
    <row r="70" spans="1:29" x14ac:dyDescent="0.2">
      <c r="A70" s="2" t="s">
        <v>73</v>
      </c>
      <c r="B70" s="2">
        <v>69</v>
      </c>
      <c r="C70" s="2" t="s">
        <v>345</v>
      </c>
      <c r="D70" s="2" t="s">
        <v>367</v>
      </c>
      <c r="E70" s="2" t="s">
        <v>363</v>
      </c>
      <c r="F70" s="2" t="s">
        <v>266</v>
      </c>
      <c r="G70" s="2" t="s">
        <v>345</v>
      </c>
      <c r="H70" s="2" t="s">
        <v>266</v>
      </c>
      <c r="I70" s="2" t="str">
        <f>IF(F70=H70,"YES","NO")</f>
        <v>YES</v>
      </c>
      <c r="J70" s="2" t="s">
        <v>318</v>
      </c>
      <c r="K70" s="2" t="s">
        <v>367</v>
      </c>
      <c r="L70" s="2" t="s">
        <v>363</v>
      </c>
      <c r="M70" s="2" t="str">
        <f>IF(E70=L70,"YES","NO")</f>
        <v>YES</v>
      </c>
      <c r="N70" s="2" t="str">
        <f>IF(D70=K70,"YES","NO")</f>
        <v>YES</v>
      </c>
      <c r="O70" s="2" t="str">
        <f>IF(C70=G70,"YES","NO")</f>
        <v>YES</v>
      </c>
      <c r="P70" s="2">
        <v>31.4</v>
      </c>
      <c r="Q70" s="2">
        <v>1.82</v>
      </c>
      <c r="R70" s="2">
        <v>1.25</v>
      </c>
      <c r="S70" s="10">
        <f>1000/P70</f>
        <v>31.847133757961785</v>
      </c>
      <c r="T70" s="10">
        <f>36-S70</f>
        <v>4.1528662420382148</v>
      </c>
      <c r="U70" s="10">
        <v>35.392913818359375</v>
      </c>
      <c r="V70" s="10">
        <v>36.341873168945312</v>
      </c>
      <c r="W70" s="10">
        <v>36.006374359130859</v>
      </c>
      <c r="X70" s="34">
        <f>1/U70</f>
        <v>2.8254243353121995E-2</v>
      </c>
      <c r="Y70" s="34">
        <f>1/V70</f>
        <v>2.7516468272045902E-2</v>
      </c>
      <c r="Z70" s="36">
        <f>1/W70</f>
        <v>2.7772860161534425E-2</v>
      </c>
      <c r="AA70" s="36">
        <f>AVERAGE(X70:Z70)</f>
        <v>2.784785726223411E-2</v>
      </c>
      <c r="AB70" s="2">
        <v>50</v>
      </c>
      <c r="AC70" s="2">
        <v>0.4254332000676801</v>
      </c>
    </row>
    <row r="71" spans="1:29" x14ac:dyDescent="0.2">
      <c r="A71" s="2" t="s">
        <v>74</v>
      </c>
      <c r="B71" s="2">
        <v>70</v>
      </c>
      <c r="C71" s="2" t="s">
        <v>341</v>
      </c>
      <c r="D71" s="2" t="s">
        <v>367</v>
      </c>
      <c r="E71" s="2" t="s">
        <v>363</v>
      </c>
      <c r="F71" s="2" t="s">
        <v>267</v>
      </c>
      <c r="G71" s="2" t="s">
        <v>341</v>
      </c>
      <c r="H71" s="2" t="s">
        <v>267</v>
      </c>
      <c r="I71" s="2" t="str">
        <f>IF(F71=H71,"YES","NO")</f>
        <v>YES</v>
      </c>
      <c r="J71" s="2" t="s">
        <v>318</v>
      </c>
      <c r="K71" s="2" t="s">
        <v>367</v>
      </c>
      <c r="L71" s="2" t="s">
        <v>363</v>
      </c>
      <c r="M71" s="2" t="str">
        <f>IF(E71=L71,"YES","NO")</f>
        <v>YES</v>
      </c>
      <c r="N71" s="2" t="str">
        <f>IF(D71=K71,"YES","NO")</f>
        <v>YES</v>
      </c>
      <c r="O71" s="2" t="str">
        <f>IF(C71=G71,"YES","NO")</f>
        <v>YES</v>
      </c>
      <c r="P71" s="2">
        <v>92.64</v>
      </c>
      <c r="Q71" s="2">
        <v>1.82</v>
      </c>
      <c r="R71" s="2">
        <v>1.64</v>
      </c>
      <c r="S71" s="10">
        <f>1000/P71</f>
        <v>10.794473229706391</v>
      </c>
      <c r="T71" s="10">
        <f>36-S71</f>
        <v>25.205526770293609</v>
      </c>
      <c r="U71" s="10" t="s">
        <v>162</v>
      </c>
      <c r="V71" s="10" t="s">
        <v>162</v>
      </c>
      <c r="W71" s="10" t="s">
        <v>162</v>
      </c>
      <c r="X71" s="39">
        <v>0</v>
      </c>
      <c r="Y71" s="39">
        <v>0</v>
      </c>
      <c r="Z71" s="39">
        <v>0</v>
      </c>
      <c r="AA71" s="39">
        <v>0</v>
      </c>
      <c r="AB71" s="2">
        <v>0</v>
      </c>
      <c r="AC71" s="2">
        <v>0</v>
      </c>
    </row>
    <row r="72" spans="1:29" x14ac:dyDescent="0.2">
      <c r="A72" s="2" t="s">
        <v>75</v>
      </c>
      <c r="B72" s="2">
        <v>71</v>
      </c>
      <c r="C72" s="2" t="s">
        <v>346</v>
      </c>
      <c r="D72" s="2" t="s">
        <v>367</v>
      </c>
      <c r="E72" s="2" t="s">
        <v>363</v>
      </c>
      <c r="F72" s="2" t="s">
        <v>268</v>
      </c>
      <c r="G72" s="2" t="s">
        <v>346</v>
      </c>
      <c r="H72" s="2" t="s">
        <v>268</v>
      </c>
      <c r="I72" s="2" t="str">
        <f>IF(F72=H72,"YES","NO")</f>
        <v>YES</v>
      </c>
      <c r="J72" s="2" t="s">
        <v>318</v>
      </c>
      <c r="K72" s="2" t="s">
        <v>367</v>
      </c>
      <c r="L72" s="2" t="s">
        <v>363</v>
      </c>
      <c r="M72" s="2" t="str">
        <f>IF(E72=L72,"YES","NO")</f>
        <v>YES</v>
      </c>
      <c r="N72" s="2" t="str">
        <f>IF(D72=K72,"YES","NO")</f>
        <v>YES</v>
      </c>
      <c r="O72" s="2" t="str">
        <f>IF(C72=G72,"YES","NO")</f>
        <v>YES</v>
      </c>
      <c r="P72" s="2">
        <v>104.5</v>
      </c>
      <c r="Q72" s="2">
        <v>1.87</v>
      </c>
      <c r="R72" s="2">
        <v>1.62</v>
      </c>
      <c r="S72" s="10">
        <f>1000/P72</f>
        <v>9.5693779904306222</v>
      </c>
      <c r="T72" s="10">
        <f>36-S72</f>
        <v>26.430622009569376</v>
      </c>
      <c r="U72" s="10" t="s">
        <v>162</v>
      </c>
      <c r="V72" s="10" t="s">
        <v>162</v>
      </c>
      <c r="W72" s="10" t="s">
        <v>162</v>
      </c>
      <c r="X72" s="39">
        <v>0</v>
      </c>
      <c r="Y72" s="39">
        <v>0</v>
      </c>
      <c r="Z72" s="39">
        <v>0</v>
      </c>
      <c r="AA72" s="39">
        <v>0</v>
      </c>
      <c r="AB72" s="2">
        <v>0</v>
      </c>
      <c r="AC72" s="2">
        <v>0</v>
      </c>
    </row>
    <row r="73" spans="1:29" x14ac:dyDescent="0.2">
      <c r="A73" s="2" t="s">
        <v>76</v>
      </c>
      <c r="B73" s="2">
        <v>72</v>
      </c>
      <c r="C73" s="2" t="s">
        <v>346</v>
      </c>
      <c r="D73" s="2" t="s">
        <v>366</v>
      </c>
      <c r="E73" s="2" t="s">
        <v>362</v>
      </c>
      <c r="F73" s="2" t="s">
        <v>269</v>
      </c>
      <c r="G73" s="2" t="s">
        <v>346</v>
      </c>
      <c r="H73" s="2" t="s">
        <v>269</v>
      </c>
      <c r="I73" s="2" t="str">
        <f>IF(F73=H73,"YES","NO")</f>
        <v>YES</v>
      </c>
      <c r="J73" s="2" t="s">
        <v>318</v>
      </c>
      <c r="K73" s="2" t="s">
        <v>366</v>
      </c>
      <c r="L73" s="2" t="s">
        <v>362</v>
      </c>
      <c r="M73" s="2" t="str">
        <f>IF(E73=L73,"YES","NO")</f>
        <v>YES</v>
      </c>
      <c r="N73" s="2" t="str">
        <f>IF(D73=K73,"YES","NO")</f>
        <v>YES</v>
      </c>
      <c r="O73" s="2" t="str">
        <f>IF(C73=G73,"YES","NO")</f>
        <v>YES</v>
      </c>
      <c r="P73" s="2">
        <v>186.2</v>
      </c>
      <c r="Q73" s="2">
        <v>1.89</v>
      </c>
      <c r="R73" s="2">
        <v>1.97</v>
      </c>
      <c r="S73" s="10">
        <f>1000/P73</f>
        <v>5.3705692803437168</v>
      </c>
      <c r="T73" s="10">
        <f>36-S73</f>
        <v>30.629430719656284</v>
      </c>
      <c r="U73" s="10" t="s">
        <v>162</v>
      </c>
      <c r="V73" s="10" t="s">
        <v>162</v>
      </c>
      <c r="W73" s="10" t="s">
        <v>162</v>
      </c>
      <c r="X73" s="39">
        <v>0</v>
      </c>
      <c r="Y73" s="39">
        <v>0</v>
      </c>
      <c r="Z73" s="39">
        <v>0</v>
      </c>
      <c r="AA73" s="39">
        <v>0</v>
      </c>
      <c r="AB73" s="2">
        <v>0</v>
      </c>
      <c r="AC73" s="2">
        <v>0</v>
      </c>
    </row>
    <row r="74" spans="1:29" x14ac:dyDescent="0.2">
      <c r="A74" s="2" t="s">
        <v>77</v>
      </c>
      <c r="B74" s="2">
        <v>73</v>
      </c>
      <c r="C74" s="2" t="s">
        <v>346</v>
      </c>
      <c r="D74" s="2" t="s">
        <v>365</v>
      </c>
      <c r="E74" s="2" t="s">
        <v>361</v>
      </c>
      <c r="F74" s="2" t="s">
        <v>270</v>
      </c>
      <c r="G74" s="2" t="s">
        <v>346</v>
      </c>
      <c r="H74" s="2" t="s">
        <v>270</v>
      </c>
      <c r="I74" s="2" t="str">
        <f>IF(F74=H74,"YES","NO")</f>
        <v>YES</v>
      </c>
      <c r="J74" s="2" t="s">
        <v>318</v>
      </c>
      <c r="K74" s="2" t="s">
        <v>365</v>
      </c>
      <c r="L74" s="2" t="s">
        <v>361</v>
      </c>
      <c r="M74" s="2" t="str">
        <f>IF(E74=L74,"YES","NO")</f>
        <v>YES</v>
      </c>
      <c r="N74" s="2" t="str">
        <f>IF(D74=K74,"YES","NO")</f>
        <v>YES</v>
      </c>
      <c r="O74" s="2" t="str">
        <f>IF(C74=G74,"YES","NO")</f>
        <v>YES</v>
      </c>
      <c r="P74" s="2">
        <v>142.19999999999999</v>
      </c>
      <c r="Q74" s="2">
        <v>1.88</v>
      </c>
      <c r="R74" s="2">
        <v>1.73</v>
      </c>
      <c r="S74" s="10">
        <f>1000/P74</f>
        <v>7.0323488045007041</v>
      </c>
      <c r="T74" s="10">
        <f>36-S74</f>
        <v>28.967651195499297</v>
      </c>
      <c r="U74" s="10" t="s">
        <v>162</v>
      </c>
      <c r="V74" s="10" t="s">
        <v>162</v>
      </c>
      <c r="W74" s="10" t="s">
        <v>162</v>
      </c>
      <c r="X74" s="39">
        <v>0</v>
      </c>
      <c r="Y74" s="39">
        <v>0</v>
      </c>
      <c r="Z74" s="39">
        <v>0</v>
      </c>
      <c r="AA74" s="39">
        <v>0</v>
      </c>
      <c r="AB74" s="2">
        <v>0</v>
      </c>
      <c r="AC74" s="2">
        <v>0</v>
      </c>
    </row>
    <row r="75" spans="1:29" x14ac:dyDescent="0.2">
      <c r="A75" s="2" t="s">
        <v>78</v>
      </c>
      <c r="B75" s="2">
        <v>74</v>
      </c>
      <c r="C75" s="2" t="s">
        <v>347</v>
      </c>
      <c r="D75" s="2" t="s">
        <v>365</v>
      </c>
      <c r="E75" s="2" t="s">
        <v>361</v>
      </c>
      <c r="F75" s="2" t="s">
        <v>271</v>
      </c>
      <c r="G75" s="2" t="s">
        <v>347</v>
      </c>
      <c r="H75" s="2" t="s">
        <v>271</v>
      </c>
      <c r="I75" s="2" t="str">
        <f>IF(F75=H75,"YES","NO")</f>
        <v>YES</v>
      </c>
      <c r="J75" s="2" t="s">
        <v>318</v>
      </c>
      <c r="K75" s="2" t="s">
        <v>365</v>
      </c>
      <c r="L75" s="2" t="s">
        <v>361</v>
      </c>
      <c r="M75" s="2" t="str">
        <f>IF(E75=L75,"YES","NO")</f>
        <v>YES</v>
      </c>
      <c r="N75" s="2" t="str">
        <f>IF(D75=K75,"YES","NO")</f>
        <v>YES</v>
      </c>
      <c r="O75" s="2" t="str">
        <f>IF(C75=G75,"YES","NO")</f>
        <v>YES</v>
      </c>
      <c r="P75" s="2">
        <v>143.69999999999999</v>
      </c>
      <c r="Q75" s="2">
        <v>1.86</v>
      </c>
      <c r="R75" s="2">
        <v>1.74</v>
      </c>
      <c r="S75" s="10">
        <f>1000/P75</f>
        <v>6.9589422407794022</v>
      </c>
      <c r="T75" s="10">
        <f>36-S75</f>
        <v>29.0410577592206</v>
      </c>
      <c r="U75" s="17" t="s">
        <v>162</v>
      </c>
      <c r="V75" s="17" t="s">
        <v>162</v>
      </c>
      <c r="W75" s="17">
        <v>34.691246032714844</v>
      </c>
      <c r="X75" s="31" t="s">
        <v>192</v>
      </c>
      <c r="Y75" s="31" t="s">
        <v>192</v>
      </c>
      <c r="Z75" s="31">
        <f>1/W75</f>
        <v>2.8825715832085454E-2</v>
      </c>
      <c r="AA75" s="33">
        <f>AVERAGE(X75:Z75)</f>
        <v>2.8825715832085454E-2</v>
      </c>
      <c r="AB75" s="2">
        <v>96</v>
      </c>
      <c r="AC75" s="2">
        <v>0.70813883554948009</v>
      </c>
    </row>
    <row r="76" spans="1:29" x14ac:dyDescent="0.2">
      <c r="A76" s="2" t="s">
        <v>79</v>
      </c>
      <c r="B76" s="2">
        <v>75</v>
      </c>
      <c r="C76" s="2" t="s">
        <v>348</v>
      </c>
      <c r="D76" s="2" t="s">
        <v>365</v>
      </c>
      <c r="E76" s="2" t="s">
        <v>361</v>
      </c>
      <c r="F76" s="2" t="s">
        <v>272</v>
      </c>
      <c r="G76" s="2" t="s">
        <v>348</v>
      </c>
      <c r="H76" s="2" t="s">
        <v>272</v>
      </c>
      <c r="I76" s="2" t="str">
        <f>IF(F76=H76,"YES","NO")</f>
        <v>YES</v>
      </c>
      <c r="J76" s="2" t="s">
        <v>318</v>
      </c>
      <c r="K76" s="2" t="s">
        <v>365</v>
      </c>
      <c r="L76" s="2" t="s">
        <v>361</v>
      </c>
      <c r="M76" s="2" t="str">
        <f>IF(E76=L76,"YES","NO")</f>
        <v>YES</v>
      </c>
      <c r="N76" s="2" t="str">
        <f>IF(D76=K76,"YES","NO")</f>
        <v>YES</v>
      </c>
      <c r="O76" s="2" t="str">
        <f>IF(C76=G76,"YES","NO")</f>
        <v>YES</v>
      </c>
      <c r="P76" s="2">
        <v>131.6</v>
      </c>
      <c r="Q76" s="2">
        <v>1.82</v>
      </c>
      <c r="R76" s="2">
        <v>1.7</v>
      </c>
      <c r="S76" s="10">
        <f>1000/P76</f>
        <v>7.5987841945288759</v>
      </c>
      <c r="T76" s="10">
        <f>36-S76</f>
        <v>28.401215805471125</v>
      </c>
      <c r="U76" s="17">
        <v>36.935455322265625</v>
      </c>
      <c r="V76" s="17" t="s">
        <v>162</v>
      </c>
      <c r="W76" s="17" t="s">
        <v>162</v>
      </c>
      <c r="X76" s="31">
        <f>1/U76</f>
        <v>2.7074256734481755E-2</v>
      </c>
      <c r="Y76" s="31" t="s">
        <v>192</v>
      </c>
      <c r="Z76" s="31" t="s">
        <v>192</v>
      </c>
      <c r="AA76" s="33">
        <f>AVERAGE(X76:Z76)</f>
        <v>2.7074256734481755E-2</v>
      </c>
      <c r="AB76" s="2">
        <v>12</v>
      </c>
      <c r="AC76" s="2">
        <v>8.9619821295123664E-2</v>
      </c>
    </row>
    <row r="77" spans="1:29" x14ac:dyDescent="0.2">
      <c r="A77" s="2" t="s">
        <v>80</v>
      </c>
      <c r="B77" s="2">
        <v>76</v>
      </c>
      <c r="C77" s="2" t="s">
        <v>348</v>
      </c>
      <c r="D77" s="2" t="s">
        <v>367</v>
      </c>
      <c r="E77" s="2" t="s">
        <v>363</v>
      </c>
      <c r="F77" s="2" t="s">
        <v>273</v>
      </c>
      <c r="G77" s="2" t="s">
        <v>348</v>
      </c>
      <c r="H77" s="2" t="s">
        <v>273</v>
      </c>
      <c r="I77" s="2" t="str">
        <f>IF(F77=H77,"YES","NO")</f>
        <v>YES</v>
      </c>
      <c r="J77" s="2" t="s">
        <v>318</v>
      </c>
      <c r="K77" s="2" t="s">
        <v>367</v>
      </c>
      <c r="L77" s="2" t="s">
        <v>363</v>
      </c>
      <c r="M77" s="2" t="str">
        <f>IF(E77=L77,"YES","NO")</f>
        <v>YES</v>
      </c>
      <c r="N77" s="2" t="str">
        <f>IF(D77=K77,"YES","NO")</f>
        <v>YES</v>
      </c>
      <c r="O77" s="2" t="str">
        <f>IF(C77=G77,"YES","NO")</f>
        <v>YES</v>
      </c>
      <c r="P77" s="2">
        <v>183.1</v>
      </c>
      <c r="Q77" s="2">
        <v>1.89</v>
      </c>
      <c r="R77" s="2">
        <v>1.74</v>
      </c>
      <c r="S77" s="10">
        <f>1000/P77</f>
        <v>5.4614964500273073</v>
      </c>
      <c r="T77" s="10">
        <f>36-S77</f>
        <v>30.538503549972692</v>
      </c>
      <c r="U77" s="10">
        <v>33.154502868652344</v>
      </c>
      <c r="V77" s="10">
        <v>35.898632049560547</v>
      </c>
      <c r="W77" s="10">
        <v>34.577579498291016</v>
      </c>
      <c r="X77" s="34">
        <f>1/U77</f>
        <v>3.0161815544684344E-2</v>
      </c>
      <c r="Y77" s="34">
        <f>1/V77</f>
        <v>2.7856214649612018E-2</v>
      </c>
      <c r="Z77" s="36">
        <f>1/W77</f>
        <v>2.892047432207985E-2</v>
      </c>
      <c r="AA77" s="36">
        <f>AVERAGE(X77:Z77)</f>
        <v>2.8979501505458739E-2</v>
      </c>
      <c r="AB77" s="2">
        <v>103</v>
      </c>
      <c r="AC77" s="2">
        <v>0.83446111844501836</v>
      </c>
    </row>
    <row r="78" spans="1:29" x14ac:dyDescent="0.2">
      <c r="A78" s="2" t="s">
        <v>81</v>
      </c>
      <c r="B78" s="2">
        <v>77</v>
      </c>
      <c r="C78" s="2" t="s">
        <v>349</v>
      </c>
      <c r="D78" s="2" t="s">
        <v>367</v>
      </c>
      <c r="E78" s="2" t="s">
        <v>363</v>
      </c>
      <c r="F78" s="2" t="s">
        <v>274</v>
      </c>
      <c r="G78" s="2" t="s">
        <v>349</v>
      </c>
      <c r="H78" s="2" t="s">
        <v>274</v>
      </c>
      <c r="I78" s="2" t="str">
        <f>IF(F78=H78,"YES","NO")</f>
        <v>YES</v>
      </c>
      <c r="J78" s="2" t="s">
        <v>318</v>
      </c>
      <c r="K78" s="2" t="s">
        <v>367</v>
      </c>
      <c r="L78" s="2" t="s">
        <v>363</v>
      </c>
      <c r="M78" s="2" t="str">
        <f>IF(E78=L78,"YES","NO")</f>
        <v>YES</v>
      </c>
      <c r="N78" s="2" t="str">
        <f>IF(D78=K78,"YES","NO")</f>
        <v>YES</v>
      </c>
      <c r="O78" s="2" t="str">
        <f>IF(C78=G78,"YES","NO")</f>
        <v>YES</v>
      </c>
      <c r="P78" s="2">
        <v>194.6</v>
      </c>
      <c r="Q78" s="2">
        <v>1.86</v>
      </c>
      <c r="R78" s="2">
        <v>1.89</v>
      </c>
      <c r="S78" s="10">
        <f>1000/P78</f>
        <v>5.1387461459403907</v>
      </c>
      <c r="T78" s="10">
        <f>36-S78</f>
        <v>30.861253854059608</v>
      </c>
      <c r="U78" s="10">
        <v>33.812454223632812</v>
      </c>
      <c r="V78" s="10">
        <v>34.832893371582031</v>
      </c>
      <c r="W78" s="10">
        <v>34.792488098144531</v>
      </c>
      <c r="X78" s="34">
        <f>1/U78</f>
        <v>2.9574901407217635E-2</v>
      </c>
      <c r="Y78" s="34">
        <f>1/V78</f>
        <v>2.8708496573409466E-2</v>
      </c>
      <c r="Z78" s="36">
        <f>1/W78</f>
        <v>2.8741836375114821E-2</v>
      </c>
      <c r="AA78" s="36">
        <f>AVERAGE(X78:Z78)</f>
        <v>2.9008411451913973E-2</v>
      </c>
      <c r="AB78" s="2">
        <v>128</v>
      </c>
      <c r="AC78" s="2">
        <v>0.98032435854315558</v>
      </c>
    </row>
    <row r="79" spans="1:29" x14ac:dyDescent="0.2">
      <c r="A79" s="2" t="s">
        <v>82</v>
      </c>
      <c r="B79" s="2">
        <v>78</v>
      </c>
      <c r="C79" s="2" t="s">
        <v>348</v>
      </c>
      <c r="D79" s="2" t="s">
        <v>366</v>
      </c>
      <c r="E79" s="2" t="s">
        <v>362</v>
      </c>
      <c r="F79" s="2" t="s">
        <v>275</v>
      </c>
      <c r="G79" s="2" t="s">
        <v>348</v>
      </c>
      <c r="H79" s="2" t="s">
        <v>275</v>
      </c>
      <c r="I79" s="2" t="str">
        <f>IF(F79=H79,"YES","NO")</f>
        <v>YES</v>
      </c>
      <c r="J79" s="2" t="s">
        <v>318</v>
      </c>
      <c r="K79" s="2" t="s">
        <v>366</v>
      </c>
      <c r="L79" s="2" t="s">
        <v>362</v>
      </c>
      <c r="M79" s="2" t="str">
        <f>IF(E79=L79,"YES","NO")</f>
        <v>YES</v>
      </c>
      <c r="N79" s="2" t="str">
        <f>IF(D79=K79,"YES","NO")</f>
        <v>YES</v>
      </c>
      <c r="O79" s="2" t="str">
        <f>IF(C79=G79,"YES","NO")</f>
        <v>YES</v>
      </c>
      <c r="P79" s="2">
        <v>200.9</v>
      </c>
      <c r="Q79" s="2">
        <v>1.92</v>
      </c>
      <c r="R79" s="2">
        <v>2.02</v>
      </c>
      <c r="S79" s="10">
        <f>1000/P79</f>
        <v>4.9776007964161275</v>
      </c>
      <c r="T79" s="10">
        <f>36-S79</f>
        <v>31.022399203583873</v>
      </c>
      <c r="U79" s="10">
        <v>34.200588226318359</v>
      </c>
      <c r="V79" s="10">
        <v>34.755619049072266</v>
      </c>
      <c r="W79" s="10">
        <v>34.775424957275391</v>
      </c>
      <c r="X79" s="34">
        <f>1/U79</f>
        <v>2.9239263178241787E-2</v>
      </c>
      <c r="Y79" s="34">
        <f>1/V79</f>
        <v>2.8772325953627147E-2</v>
      </c>
      <c r="Z79" s="36">
        <f>1/W79</f>
        <v>2.8755939035355751E-2</v>
      </c>
      <c r="AA79" s="36">
        <f>AVERAGE(X79:Z79)</f>
        <v>2.8922509389074896E-2</v>
      </c>
      <c r="AB79" s="2">
        <v>504</v>
      </c>
      <c r="AC79" s="2">
        <v>3.9850648962435349</v>
      </c>
    </row>
    <row r="80" spans="1:29" x14ac:dyDescent="0.2">
      <c r="A80" s="2" t="s">
        <v>83</v>
      </c>
      <c r="B80" s="2">
        <v>79</v>
      </c>
      <c r="C80" s="2" t="s">
        <v>347</v>
      </c>
      <c r="D80" s="2" t="s">
        <v>367</v>
      </c>
      <c r="E80" s="2" t="s">
        <v>363</v>
      </c>
      <c r="F80" s="2" t="s">
        <v>276</v>
      </c>
      <c r="G80" s="2" t="s">
        <v>347</v>
      </c>
      <c r="H80" s="2" t="s">
        <v>276</v>
      </c>
      <c r="I80" s="2" t="str">
        <f>IF(F80=H80,"YES","NO")</f>
        <v>YES</v>
      </c>
      <c r="J80" s="2" t="s">
        <v>318</v>
      </c>
      <c r="K80" s="2" t="s">
        <v>367</v>
      </c>
      <c r="L80" s="2" t="s">
        <v>363</v>
      </c>
      <c r="M80" s="2" t="str">
        <f>IF(E80=L80,"YES","NO")</f>
        <v>YES</v>
      </c>
      <c r="N80" s="2" t="str">
        <f>IF(D80=K80,"YES","NO")</f>
        <v>YES</v>
      </c>
      <c r="O80" s="2" t="str">
        <f>IF(C80=G80,"YES","NO")</f>
        <v>YES</v>
      </c>
      <c r="P80" s="2">
        <v>83.67</v>
      </c>
      <c r="Q80" s="2">
        <v>1.85</v>
      </c>
      <c r="R80" s="2">
        <v>1.67</v>
      </c>
      <c r="S80" s="10">
        <f>1000/P80</f>
        <v>11.951715071112705</v>
      </c>
      <c r="T80" s="10">
        <f>36-S80</f>
        <v>24.048284928887295</v>
      </c>
      <c r="U80" s="10">
        <v>34.527790069580078</v>
      </c>
      <c r="V80" s="10">
        <v>34.526416778564453</v>
      </c>
      <c r="W80" s="10">
        <v>34.314022064208984</v>
      </c>
      <c r="X80" s="34">
        <f>1/U80</f>
        <v>2.8962177943760936E-2</v>
      </c>
      <c r="Y80" s="34">
        <f>1/V80</f>
        <v>2.8963329916727554E-2</v>
      </c>
      <c r="Z80" s="36">
        <f>1/W80</f>
        <v>2.9142605262909224E-2</v>
      </c>
      <c r="AA80" s="36">
        <f>AVERAGE(X80:Z80)</f>
        <v>2.9022704374465903E-2</v>
      </c>
      <c r="AB80" s="2">
        <v>83</v>
      </c>
      <c r="AC80" s="2">
        <v>0.71520597389922169</v>
      </c>
    </row>
    <row r="81" spans="1:29" x14ac:dyDescent="0.2">
      <c r="A81" s="2" t="s">
        <v>84</v>
      </c>
      <c r="B81" s="2">
        <v>80</v>
      </c>
      <c r="C81" s="2" t="s">
        <v>345</v>
      </c>
      <c r="D81" s="2" t="s">
        <v>365</v>
      </c>
      <c r="E81" s="2" t="s">
        <v>361</v>
      </c>
      <c r="F81" s="2" t="s">
        <v>277</v>
      </c>
      <c r="G81" s="2" t="s">
        <v>345</v>
      </c>
      <c r="H81" s="2" t="s">
        <v>277</v>
      </c>
      <c r="I81" s="2" t="str">
        <f>IF(F81=H81,"YES","NO")</f>
        <v>YES</v>
      </c>
      <c r="J81" s="2" t="s">
        <v>318</v>
      </c>
      <c r="K81" s="2" t="s">
        <v>365</v>
      </c>
      <c r="L81" s="2" t="s">
        <v>361</v>
      </c>
      <c r="M81" s="2" t="str">
        <f>IF(E81=L81,"YES","NO")</f>
        <v>YES</v>
      </c>
      <c r="N81" s="2" t="str">
        <f>IF(D81=K81,"YES","NO")</f>
        <v>YES</v>
      </c>
      <c r="O81" s="2" t="str">
        <f>IF(C81=G81,"YES","NO")</f>
        <v>YES</v>
      </c>
      <c r="P81" s="2">
        <v>99.7</v>
      </c>
      <c r="Q81" s="2">
        <v>1.87</v>
      </c>
      <c r="R81" s="2">
        <v>1.86</v>
      </c>
      <c r="S81" s="10">
        <f>1000/P81</f>
        <v>10.030090270812437</v>
      </c>
      <c r="T81" s="10">
        <f>36-S81</f>
        <v>25.969909729187563</v>
      </c>
      <c r="U81" s="17" t="s">
        <v>162</v>
      </c>
      <c r="V81" s="17">
        <v>35.778244018554688</v>
      </c>
      <c r="W81" s="17" t="s">
        <v>162</v>
      </c>
      <c r="X81" s="31" t="s">
        <v>192</v>
      </c>
      <c r="Y81" s="31">
        <f>1/V81</f>
        <v>2.7949946327198102E-2</v>
      </c>
      <c r="Z81" s="31" t="s">
        <v>192</v>
      </c>
      <c r="AA81" s="33">
        <f>AVERAGE(X81:Z81)</f>
        <v>2.7949946327198102E-2</v>
      </c>
      <c r="AB81" s="2">
        <v>20</v>
      </c>
      <c r="AC81" s="2">
        <v>0.1536442352918056</v>
      </c>
    </row>
    <row r="82" spans="1:29" x14ac:dyDescent="0.2">
      <c r="A82" s="2" t="s">
        <v>85</v>
      </c>
      <c r="B82" s="2">
        <v>81</v>
      </c>
      <c r="C82" s="2" t="s">
        <v>345</v>
      </c>
      <c r="D82" s="2" t="s">
        <v>366</v>
      </c>
      <c r="E82" s="2" t="s">
        <v>362</v>
      </c>
      <c r="F82" s="2" t="s">
        <v>278</v>
      </c>
      <c r="G82" s="2" t="s">
        <v>345</v>
      </c>
      <c r="H82" s="2" t="s">
        <v>278</v>
      </c>
      <c r="I82" s="2" t="str">
        <f>IF(F82=H82,"YES","NO")</f>
        <v>YES</v>
      </c>
      <c r="J82" s="2" t="s">
        <v>318</v>
      </c>
      <c r="K82" s="2" t="s">
        <v>366</v>
      </c>
      <c r="L82" s="2" t="s">
        <v>362</v>
      </c>
      <c r="M82" s="2" t="str">
        <f>IF(E82=L82,"YES","NO")</f>
        <v>YES</v>
      </c>
      <c r="N82" s="2" t="str">
        <f>IF(D82=K82,"YES","NO")</f>
        <v>YES</v>
      </c>
      <c r="O82" s="2" t="str">
        <f>IF(C82=G82,"YES","NO")</f>
        <v>YES</v>
      </c>
      <c r="P82" s="2">
        <v>138.5</v>
      </c>
      <c r="Q82" s="2">
        <v>1.89</v>
      </c>
      <c r="R82" s="2">
        <v>1.89</v>
      </c>
      <c r="S82" s="10">
        <f>1000/P82</f>
        <v>7.2202166064981945</v>
      </c>
      <c r="T82" s="10">
        <f>36-S82</f>
        <v>28.779783393501805</v>
      </c>
      <c r="U82" s="10">
        <v>32.853305816650391</v>
      </c>
      <c r="V82" s="10">
        <v>34.172069549560547</v>
      </c>
      <c r="W82" s="10">
        <v>34.476589202880859</v>
      </c>
      <c r="X82" s="34">
        <f>1/U82</f>
        <v>3.043833718228714E-2</v>
      </c>
      <c r="Y82" s="34">
        <f>1/V82</f>
        <v>2.9263665127149431E-2</v>
      </c>
      <c r="Z82" s="36">
        <f>1/W82</f>
        <v>2.9005189408830505E-2</v>
      </c>
      <c r="AA82" s="36">
        <f>AVERAGE(X82:Z82)</f>
        <v>2.9569063906089026E-2</v>
      </c>
      <c r="AB82" s="2">
        <v>462</v>
      </c>
      <c r="AC82" s="2">
        <v>3.43019074538172</v>
      </c>
    </row>
    <row r="83" spans="1:29" x14ac:dyDescent="0.2">
      <c r="A83" s="2" t="s">
        <v>86</v>
      </c>
      <c r="B83" s="2">
        <v>82</v>
      </c>
      <c r="C83" s="2" t="s">
        <v>349</v>
      </c>
      <c r="D83" s="2" t="s">
        <v>366</v>
      </c>
      <c r="E83" s="2" t="s">
        <v>362</v>
      </c>
      <c r="F83" s="2" t="s">
        <v>279</v>
      </c>
      <c r="G83" s="2" t="s">
        <v>349</v>
      </c>
      <c r="H83" s="2" t="s">
        <v>279</v>
      </c>
      <c r="I83" s="2" t="str">
        <f>IF(F83=H83,"YES","NO")</f>
        <v>YES</v>
      </c>
      <c r="J83" s="2" t="s">
        <v>318</v>
      </c>
      <c r="K83" s="2" t="s">
        <v>366</v>
      </c>
      <c r="L83" s="2" t="s">
        <v>362</v>
      </c>
      <c r="M83" s="2" t="str">
        <f>IF(E83=L83,"YES","NO")</f>
        <v>YES</v>
      </c>
      <c r="N83" s="2" t="str">
        <f>IF(D83=K83,"YES","NO")</f>
        <v>YES</v>
      </c>
      <c r="O83" s="2" t="str">
        <f>IF(C83=G83,"YES","NO")</f>
        <v>YES</v>
      </c>
      <c r="P83" s="2">
        <v>107.7</v>
      </c>
      <c r="Q83" s="2">
        <v>1.88</v>
      </c>
      <c r="R83" s="2">
        <v>1.84</v>
      </c>
      <c r="S83" s="10">
        <f>1000/P83</f>
        <v>9.2850510677808717</v>
      </c>
      <c r="T83" s="10">
        <f>36-S83</f>
        <v>26.71494893221913</v>
      </c>
      <c r="U83" s="10">
        <v>34.50238037109375</v>
      </c>
      <c r="V83" s="10">
        <v>35.411045074462891</v>
      </c>
      <c r="W83" s="10">
        <v>33.548892974853516</v>
      </c>
      <c r="X83" s="34">
        <f>1/U83</f>
        <v>2.8983507492654173E-2</v>
      </c>
      <c r="Y83" s="34">
        <f>1/V83</f>
        <v>2.8239776541392231E-2</v>
      </c>
      <c r="Z83" s="36">
        <f>1/W83</f>
        <v>2.9807242842544681E-2</v>
      </c>
      <c r="AA83" s="36">
        <f>AVERAGE(X83:Z83)</f>
        <v>2.9010175625530363E-2</v>
      </c>
      <c r="AB83" s="2">
        <v>0</v>
      </c>
      <c r="AC83" s="2">
        <v>0</v>
      </c>
    </row>
    <row r="84" spans="1:29" x14ac:dyDescent="0.2">
      <c r="A84" s="2" t="s">
        <v>87</v>
      </c>
      <c r="B84" s="2">
        <v>83</v>
      </c>
      <c r="C84" s="2" t="s">
        <v>350</v>
      </c>
      <c r="D84" s="2" t="s">
        <v>366</v>
      </c>
      <c r="E84" s="2" t="s">
        <v>362</v>
      </c>
      <c r="F84" s="2" t="s">
        <v>280</v>
      </c>
      <c r="G84" s="2" t="s">
        <v>350</v>
      </c>
      <c r="H84" s="2" t="s">
        <v>280</v>
      </c>
      <c r="I84" s="2" t="str">
        <f>IF(F84=H84,"YES","NO")</f>
        <v>YES</v>
      </c>
      <c r="J84" s="2" t="s">
        <v>318</v>
      </c>
      <c r="K84" s="2" t="s">
        <v>366</v>
      </c>
      <c r="L84" s="2" t="s">
        <v>362</v>
      </c>
      <c r="M84" s="2" t="str">
        <f>IF(E84=L84,"YES","NO")</f>
        <v>YES</v>
      </c>
      <c r="N84" s="2" t="str">
        <f>IF(D84=K84,"YES","NO")</f>
        <v>YES</v>
      </c>
      <c r="O84" s="2" t="str">
        <f>IF(C84=G84,"YES","NO")</f>
        <v>YES</v>
      </c>
      <c r="P84" s="2">
        <v>108.4</v>
      </c>
      <c r="Q84" s="2">
        <v>1.86</v>
      </c>
      <c r="R84" s="2">
        <v>1.95</v>
      </c>
      <c r="S84" s="10">
        <f>1000/P84</f>
        <v>9.2250922509225095</v>
      </c>
      <c r="T84" s="10">
        <f>36-S84</f>
        <v>26.774907749077492</v>
      </c>
      <c r="U84" s="10">
        <v>33.566543579101562</v>
      </c>
      <c r="V84" s="10">
        <v>33.747627258300781</v>
      </c>
      <c r="W84" s="10">
        <v>32.714828491210938</v>
      </c>
      <c r="X84" s="34">
        <f>1/U84</f>
        <v>2.9791569025968977E-2</v>
      </c>
      <c r="Y84" s="34">
        <f>1/V84</f>
        <v>2.9631712841501578E-2</v>
      </c>
      <c r="Z84" s="36">
        <f>1/W84</f>
        <v>3.0567178436183971E-2</v>
      </c>
      <c r="AA84" s="36">
        <f>AVERAGE(X84:Z84)</f>
        <v>2.9996820101218177E-2</v>
      </c>
      <c r="AB84" s="2">
        <v>492</v>
      </c>
      <c r="AC84" s="2">
        <v>3.6979369218977181</v>
      </c>
    </row>
    <row r="85" spans="1:29" x14ac:dyDescent="0.2">
      <c r="A85" s="2" t="s">
        <v>88</v>
      </c>
      <c r="B85" s="2">
        <v>84</v>
      </c>
      <c r="C85" s="2" t="s">
        <v>351</v>
      </c>
      <c r="D85" s="2" t="s">
        <v>366</v>
      </c>
      <c r="E85" s="2" t="s">
        <v>362</v>
      </c>
      <c r="F85" s="2" t="s">
        <v>281</v>
      </c>
      <c r="G85" s="2" t="s">
        <v>351</v>
      </c>
      <c r="H85" s="2" t="s">
        <v>281</v>
      </c>
      <c r="I85" s="2" t="str">
        <f>IF(F85=H85,"YES","NO")</f>
        <v>YES</v>
      </c>
      <c r="J85" s="2" t="s">
        <v>318</v>
      </c>
      <c r="K85" s="2" t="s">
        <v>366</v>
      </c>
      <c r="L85" s="2" t="s">
        <v>362</v>
      </c>
      <c r="M85" s="2" t="str">
        <f>IF(E85=L85,"YES","NO")</f>
        <v>YES</v>
      </c>
      <c r="N85" s="2" t="str">
        <f>IF(D85=K85,"YES","NO")</f>
        <v>YES</v>
      </c>
      <c r="O85" s="2" t="str">
        <f>IF(C85=G85,"YES","NO")</f>
        <v>YES</v>
      </c>
      <c r="P85" s="2">
        <v>102</v>
      </c>
      <c r="Q85" s="2">
        <v>1.91</v>
      </c>
      <c r="R85" s="2">
        <v>1.93</v>
      </c>
      <c r="S85" s="10">
        <f>1000/P85</f>
        <v>9.8039215686274517</v>
      </c>
      <c r="T85" s="10">
        <f>36-S85</f>
        <v>26.196078431372548</v>
      </c>
      <c r="U85" s="17" t="s">
        <v>162</v>
      </c>
      <c r="V85" s="17">
        <v>34.764331817626953</v>
      </c>
      <c r="W85" s="17">
        <v>34.720535278320312</v>
      </c>
      <c r="X85" s="31" t="s">
        <v>192</v>
      </c>
      <c r="Y85" s="31">
        <f>1/V85</f>
        <v>2.8765114924284511E-2</v>
      </c>
      <c r="Z85" s="33">
        <f>1/W85</f>
        <v>2.8801399286732924E-2</v>
      </c>
      <c r="AA85" s="33">
        <f>AVERAGE(X85:Z85)</f>
        <v>2.8783257105508719E-2</v>
      </c>
      <c r="AB85" s="2">
        <v>82</v>
      </c>
      <c r="AC85" s="2">
        <v>0.68130963491893137</v>
      </c>
    </row>
    <row r="86" spans="1:29" x14ac:dyDescent="0.2">
      <c r="A86" s="2" t="s">
        <v>89</v>
      </c>
      <c r="B86" s="2">
        <v>85</v>
      </c>
      <c r="C86" s="2" t="s">
        <v>352</v>
      </c>
      <c r="D86" s="2" t="s">
        <v>365</v>
      </c>
      <c r="E86" s="2" t="s">
        <v>361</v>
      </c>
      <c r="F86" s="2" t="s">
        <v>282</v>
      </c>
      <c r="G86" s="2" t="s">
        <v>352</v>
      </c>
      <c r="H86" s="2" t="s">
        <v>282</v>
      </c>
      <c r="I86" s="2" t="str">
        <f>IF(F86=H86,"YES","NO")</f>
        <v>YES</v>
      </c>
      <c r="J86" s="2" t="s">
        <v>318</v>
      </c>
      <c r="K86" s="2" t="s">
        <v>365</v>
      </c>
      <c r="L86" s="2" t="s">
        <v>361</v>
      </c>
      <c r="M86" s="2" t="str">
        <f>IF(E86=L86,"YES","NO")</f>
        <v>YES</v>
      </c>
      <c r="N86" s="2" t="str">
        <f>IF(D86=K86,"YES","NO")</f>
        <v>YES</v>
      </c>
      <c r="O86" s="2" t="str">
        <f>IF(C86=G86,"YES","NO")</f>
        <v>YES</v>
      </c>
      <c r="P86" s="2">
        <v>226.1</v>
      </c>
      <c r="Q86" s="2">
        <v>1.89</v>
      </c>
      <c r="R86" s="2">
        <v>1.85</v>
      </c>
      <c r="S86" s="10">
        <f>1000/P86</f>
        <v>4.4228217602830604</v>
      </c>
      <c r="T86" s="10">
        <f>36-S86</f>
        <v>31.57717823971694</v>
      </c>
      <c r="U86" s="17" t="s">
        <v>162</v>
      </c>
      <c r="V86" s="17">
        <v>34.760807037353516</v>
      </c>
      <c r="W86" s="17">
        <v>34.721897125244141</v>
      </c>
      <c r="X86" s="31" t="s">
        <v>192</v>
      </c>
      <c r="Y86" s="31">
        <f>1/V86</f>
        <v>2.8768031735437353E-2</v>
      </c>
      <c r="Z86" s="33">
        <f>1/W86</f>
        <v>2.8800269650962187E-2</v>
      </c>
      <c r="AA86" s="33">
        <f>AVERAGE(X86:Z86)</f>
        <v>2.878415069319977E-2</v>
      </c>
      <c r="AB86" s="2">
        <v>181</v>
      </c>
      <c r="AC86" s="2">
        <v>1.4674307702762419</v>
      </c>
    </row>
    <row r="87" spans="1:29" x14ac:dyDescent="0.2">
      <c r="A87" s="2" t="s">
        <v>90</v>
      </c>
      <c r="B87" s="2">
        <v>86</v>
      </c>
      <c r="C87" s="2" t="s">
        <v>351</v>
      </c>
      <c r="D87" s="2" t="s">
        <v>367</v>
      </c>
      <c r="E87" s="2" t="s">
        <v>363</v>
      </c>
      <c r="F87" s="2" t="s">
        <v>283</v>
      </c>
      <c r="G87" s="2" t="s">
        <v>351</v>
      </c>
      <c r="H87" s="2" t="s">
        <v>283</v>
      </c>
      <c r="I87" s="2" t="str">
        <f>IF(F87=H87,"YES","NO")</f>
        <v>YES</v>
      </c>
      <c r="J87" s="2" t="s">
        <v>318</v>
      </c>
      <c r="K87" s="2" t="s">
        <v>367</v>
      </c>
      <c r="L87" s="2" t="s">
        <v>363</v>
      </c>
      <c r="M87" s="2" t="str">
        <f>IF(E87=L87,"YES","NO")</f>
        <v>YES</v>
      </c>
      <c r="N87" s="2" t="str">
        <f>IF(D87=K87,"YES","NO")</f>
        <v>YES</v>
      </c>
      <c r="O87" s="2" t="str">
        <f>IF(C87=G87,"YES","NO")</f>
        <v>YES</v>
      </c>
      <c r="P87" s="2">
        <v>272.3</v>
      </c>
      <c r="Q87" s="2">
        <v>1.91</v>
      </c>
      <c r="R87" s="2">
        <v>2</v>
      </c>
      <c r="S87" s="10">
        <f>1000/P87</f>
        <v>3.6724201248622843</v>
      </c>
      <c r="T87" s="10">
        <f>36-S87</f>
        <v>32.327579875137715</v>
      </c>
      <c r="U87" s="10">
        <v>33.727832794189453</v>
      </c>
      <c r="V87" s="10">
        <v>35.708904266357422</v>
      </c>
      <c r="W87" s="10">
        <v>34.222606658935547</v>
      </c>
      <c r="X87" s="34">
        <f>1/U87</f>
        <v>2.9649103341507239E-2</v>
      </c>
      <c r="Y87" s="34">
        <f>1/V87</f>
        <v>2.8004219691001107E-2</v>
      </c>
      <c r="Z87" s="36">
        <f>1/W87</f>
        <v>2.9220450971664935E-2</v>
      </c>
      <c r="AA87" s="36">
        <f>AVERAGE(X87:Z87)</f>
        <v>2.8957924668057761E-2</v>
      </c>
      <c r="AB87" s="2">
        <v>168</v>
      </c>
      <c r="AC87" s="2">
        <v>1.4997368824655599</v>
      </c>
    </row>
    <row r="88" spans="1:29" x14ac:dyDescent="0.2">
      <c r="A88" s="2" t="s">
        <v>91</v>
      </c>
      <c r="B88" s="2">
        <v>87</v>
      </c>
      <c r="C88" s="2" t="s">
        <v>344</v>
      </c>
      <c r="D88" s="2" t="s">
        <v>367</v>
      </c>
      <c r="E88" s="2" t="s">
        <v>363</v>
      </c>
      <c r="F88" s="2" t="s">
        <v>284</v>
      </c>
      <c r="G88" s="2" t="s">
        <v>344</v>
      </c>
      <c r="H88" s="2" t="s">
        <v>284</v>
      </c>
      <c r="I88" s="2" t="str">
        <f>IF(F88=H88,"YES","NO")</f>
        <v>YES</v>
      </c>
      <c r="J88" s="2" t="s">
        <v>318</v>
      </c>
      <c r="K88" s="2" t="s">
        <v>367</v>
      </c>
      <c r="L88" s="2" t="s">
        <v>363</v>
      </c>
      <c r="M88" s="2" t="str">
        <f>IF(E88=L88,"YES","NO")</f>
        <v>YES</v>
      </c>
      <c r="N88" s="2" t="str">
        <f>IF(D88=K88,"YES","NO")</f>
        <v>YES</v>
      </c>
      <c r="O88" s="2" t="str">
        <f>IF(C88=G88,"YES","NO")</f>
        <v>YES</v>
      </c>
      <c r="P88" s="2">
        <v>213.8</v>
      </c>
      <c r="Q88" s="2">
        <v>1.85</v>
      </c>
      <c r="R88" s="2">
        <v>2.04</v>
      </c>
      <c r="S88" s="10">
        <f>1000/P88</f>
        <v>4.677268475210477</v>
      </c>
      <c r="T88" s="10">
        <f>36-S88</f>
        <v>31.322731524789525</v>
      </c>
      <c r="U88" s="10" t="s">
        <v>162</v>
      </c>
      <c r="V88" s="10" t="s">
        <v>162</v>
      </c>
      <c r="W88" s="10" t="s">
        <v>162</v>
      </c>
      <c r="X88" s="39">
        <v>0</v>
      </c>
      <c r="Y88" s="39">
        <v>0</v>
      </c>
      <c r="Z88" s="39">
        <v>0</v>
      </c>
      <c r="AA88" s="39">
        <v>0</v>
      </c>
      <c r="AB88" s="2">
        <v>0</v>
      </c>
      <c r="AC88" s="2">
        <v>0</v>
      </c>
    </row>
    <row r="89" spans="1:29" x14ac:dyDescent="0.2">
      <c r="A89" s="2" t="s">
        <v>92</v>
      </c>
      <c r="B89" s="2">
        <v>88</v>
      </c>
      <c r="C89" s="2" t="s">
        <v>352</v>
      </c>
      <c r="D89" s="2" t="s">
        <v>366</v>
      </c>
      <c r="E89" s="2" t="s">
        <v>362</v>
      </c>
      <c r="F89" s="2" t="s">
        <v>285</v>
      </c>
      <c r="G89" s="2" t="s">
        <v>352</v>
      </c>
      <c r="H89" s="2" t="s">
        <v>285</v>
      </c>
      <c r="I89" s="2" t="str">
        <f>IF(F89=H89,"YES","NO")</f>
        <v>YES</v>
      </c>
      <c r="J89" s="2" t="s">
        <v>318</v>
      </c>
      <c r="K89" s="2" t="s">
        <v>366</v>
      </c>
      <c r="L89" s="2" t="s">
        <v>362</v>
      </c>
      <c r="M89" s="2" t="str">
        <f>IF(E89=L89,"YES","NO")</f>
        <v>YES</v>
      </c>
      <c r="N89" s="2" t="str">
        <f>IF(D89=K89,"YES","NO")</f>
        <v>YES</v>
      </c>
      <c r="O89" s="2" t="str">
        <f>IF(C89=G89,"YES","NO")</f>
        <v>YES</v>
      </c>
      <c r="P89" s="2">
        <v>241.5</v>
      </c>
      <c r="Q89" s="2">
        <v>1.89</v>
      </c>
      <c r="R89" s="2">
        <v>2.1</v>
      </c>
      <c r="S89" s="10">
        <f>1000/P89</f>
        <v>4.1407867494824018</v>
      </c>
      <c r="T89" s="10">
        <f>36-S89</f>
        <v>31.859213250517598</v>
      </c>
      <c r="U89" s="10">
        <v>35.24835205078125</v>
      </c>
      <c r="V89" s="10">
        <v>34.804515838623047</v>
      </c>
      <c r="W89" s="10">
        <v>33.274604797363281</v>
      </c>
      <c r="X89" s="34">
        <f>1/U89</f>
        <v>2.8370120638812554E-2</v>
      </c>
      <c r="Y89" s="34">
        <f>1/V89</f>
        <v>2.8731903774690246E-2</v>
      </c>
      <c r="Z89" s="36">
        <f>1/W89</f>
        <v>3.0052948970839204E-2</v>
      </c>
      <c r="AA89" s="36">
        <f>AVERAGE(X89:Z89)</f>
        <v>2.9051657794780666E-2</v>
      </c>
      <c r="AB89" s="2">
        <v>318</v>
      </c>
      <c r="AC89" s="2">
        <v>1.907200926113048</v>
      </c>
    </row>
    <row r="90" spans="1:29" x14ac:dyDescent="0.2">
      <c r="A90" s="2" t="s">
        <v>93</v>
      </c>
      <c r="B90" s="2">
        <v>89</v>
      </c>
      <c r="C90" s="2" t="s">
        <v>352</v>
      </c>
      <c r="D90" s="2" t="s">
        <v>367</v>
      </c>
      <c r="E90" s="2" t="s">
        <v>363</v>
      </c>
      <c r="F90" s="2" t="s">
        <v>286</v>
      </c>
      <c r="G90" s="2" t="s">
        <v>352</v>
      </c>
      <c r="H90" s="2" t="s">
        <v>286</v>
      </c>
      <c r="I90" s="2" t="str">
        <f>IF(F90=H90,"YES","NO")</f>
        <v>YES</v>
      </c>
      <c r="J90" s="2" t="s">
        <v>318</v>
      </c>
      <c r="K90" s="2" t="s">
        <v>367</v>
      </c>
      <c r="L90" s="2" t="s">
        <v>363</v>
      </c>
      <c r="M90" s="2" t="str">
        <f>IF(E90=L90,"YES","NO")</f>
        <v>YES</v>
      </c>
      <c r="N90" s="2" t="str">
        <f>IF(D90=K90,"YES","NO")</f>
        <v>YES</v>
      </c>
      <c r="O90" s="2" t="str">
        <f>IF(C90=G90,"YES","NO")</f>
        <v>YES</v>
      </c>
      <c r="P90" s="2">
        <v>144.6</v>
      </c>
      <c r="Q90" s="2">
        <v>1.91</v>
      </c>
      <c r="R90" s="2">
        <v>1.89</v>
      </c>
      <c r="S90" s="10">
        <f>1000/P90</f>
        <v>6.9156293222683267</v>
      </c>
      <c r="T90" s="10">
        <f>36-S90</f>
        <v>29.084370677731673</v>
      </c>
      <c r="U90" s="10">
        <v>35.344467163085938</v>
      </c>
      <c r="V90" s="10">
        <v>34.17431640625</v>
      </c>
      <c r="W90" s="10">
        <v>33.939426422119141</v>
      </c>
      <c r="X90" s="34">
        <f>1/U90</f>
        <v>2.8292971439796057E-2</v>
      </c>
      <c r="Y90" s="34">
        <f>1/V90</f>
        <v>2.9261741130749117E-2</v>
      </c>
      <c r="Z90" s="36">
        <f>1/W90</f>
        <v>2.9464257514625409E-2</v>
      </c>
      <c r="AA90" s="36">
        <f>AVERAGE(X90:Z90)</f>
        <v>2.9006323361723527E-2</v>
      </c>
      <c r="AB90" s="2">
        <v>38</v>
      </c>
      <c r="AC90" s="2">
        <v>0.26184704147071991</v>
      </c>
    </row>
    <row r="91" spans="1:29" x14ac:dyDescent="0.2">
      <c r="A91" s="2" t="s">
        <v>94</v>
      </c>
      <c r="B91" s="2">
        <v>90</v>
      </c>
      <c r="C91" s="2" t="s">
        <v>351</v>
      </c>
      <c r="D91" s="2" t="s">
        <v>365</v>
      </c>
      <c r="E91" s="2" t="s">
        <v>361</v>
      </c>
      <c r="F91" s="2" t="s">
        <v>287</v>
      </c>
      <c r="G91" s="2" t="s">
        <v>351</v>
      </c>
      <c r="H91" s="2" t="s">
        <v>287</v>
      </c>
      <c r="I91" s="2" t="str">
        <f>IF(F91=H91,"YES","NO")</f>
        <v>YES</v>
      </c>
      <c r="J91" s="2" t="s">
        <v>318</v>
      </c>
      <c r="K91" s="2" t="s">
        <v>365</v>
      </c>
      <c r="L91" s="2" t="s">
        <v>361</v>
      </c>
      <c r="M91" s="2" t="str">
        <f>IF(E91=L91,"YES","NO")</f>
        <v>YES</v>
      </c>
      <c r="N91" s="2" t="str">
        <f>IF(D91=K91,"YES","NO")</f>
        <v>YES</v>
      </c>
      <c r="O91" s="2" t="str">
        <f>IF(C91=G91,"YES","NO")</f>
        <v>YES</v>
      </c>
      <c r="P91" s="2">
        <v>138.80000000000001</v>
      </c>
      <c r="Q91" s="2">
        <v>1.86</v>
      </c>
      <c r="R91" s="2">
        <v>1.85</v>
      </c>
      <c r="S91" s="10">
        <f>1000/P91</f>
        <v>7.2046109510086449</v>
      </c>
      <c r="T91" s="10">
        <f>36-S91</f>
        <v>28.795389048991353</v>
      </c>
      <c r="U91" s="10">
        <v>34.134693145751953</v>
      </c>
      <c r="V91" s="10">
        <v>33.659202575683594</v>
      </c>
      <c r="W91" s="10">
        <v>34.533107757568359</v>
      </c>
      <c r="X91" s="34">
        <f>1/U91</f>
        <v>2.9295707910133931E-2</v>
      </c>
      <c r="Y91" s="34">
        <f>1/V91</f>
        <v>2.9709557074368412E-2</v>
      </c>
      <c r="Z91" s="36">
        <f>1/W91</f>
        <v>2.8957718112724379E-2</v>
      </c>
      <c r="AA91" s="36">
        <f>AVERAGE(X91:Z91)</f>
        <v>2.9320994365742242E-2</v>
      </c>
      <c r="AB91" s="2">
        <v>104</v>
      </c>
      <c r="AC91" s="2">
        <v>0.762061510978985</v>
      </c>
    </row>
    <row r="92" spans="1:29" x14ac:dyDescent="0.2">
      <c r="A92" s="2" t="s">
        <v>95</v>
      </c>
      <c r="B92" s="2">
        <v>91</v>
      </c>
      <c r="C92" s="2" t="s">
        <v>353</v>
      </c>
      <c r="D92" s="2" t="s">
        <v>365</v>
      </c>
      <c r="E92" s="2" t="s">
        <v>361</v>
      </c>
      <c r="F92" s="2" t="s">
        <v>288</v>
      </c>
      <c r="G92" s="2" t="s">
        <v>353</v>
      </c>
      <c r="H92" s="2" t="s">
        <v>288</v>
      </c>
      <c r="I92" s="2" t="str">
        <f>IF(F92=H92,"YES","NO")</f>
        <v>YES</v>
      </c>
      <c r="J92" s="2" t="s">
        <v>318</v>
      </c>
      <c r="K92" s="2" t="s">
        <v>365</v>
      </c>
      <c r="L92" s="2" t="s">
        <v>361</v>
      </c>
      <c r="M92" s="2" t="str">
        <f>IF(E92=L92,"YES","NO")</f>
        <v>YES</v>
      </c>
      <c r="N92" s="2" t="str">
        <f>IF(D92=K92,"YES","NO")</f>
        <v>YES</v>
      </c>
      <c r="O92" s="2" t="str">
        <f>IF(C92=G92,"YES","NO")</f>
        <v>YES</v>
      </c>
      <c r="P92" s="2">
        <v>71.290000000000006</v>
      </c>
      <c r="Q92" s="2">
        <v>1.82</v>
      </c>
      <c r="R92" s="2">
        <v>1.72</v>
      </c>
      <c r="S92" s="10">
        <f>1000/P92</f>
        <v>14.027212792818066</v>
      </c>
      <c r="T92" s="10">
        <f>36-S92</f>
        <v>21.972787207181934</v>
      </c>
      <c r="U92" s="17" t="s">
        <v>162</v>
      </c>
      <c r="V92" s="17">
        <v>34.246410369873047</v>
      </c>
      <c r="W92" s="17">
        <v>33.328727722167969</v>
      </c>
      <c r="X92" s="31" t="s">
        <v>192</v>
      </c>
      <c r="Y92" s="31">
        <f>1/V92</f>
        <v>2.9200140662909047E-2</v>
      </c>
      <c r="Z92" s="33">
        <f>1/W92</f>
        <v>3.0004145622842635E-2</v>
      </c>
      <c r="AA92" s="33">
        <f>AVERAGE(X92:Z92)</f>
        <v>2.9602143142875841E-2</v>
      </c>
      <c r="AB92" s="2">
        <v>0</v>
      </c>
      <c r="AC92" s="2">
        <v>0</v>
      </c>
    </row>
    <row r="93" spans="1:29" x14ac:dyDescent="0.2">
      <c r="A93" s="2" t="s">
        <v>96</v>
      </c>
      <c r="B93" s="2">
        <v>92</v>
      </c>
      <c r="C93" s="2" t="s">
        <v>353</v>
      </c>
      <c r="D93" s="2" t="s">
        <v>367</v>
      </c>
      <c r="E93" s="2" t="s">
        <v>363</v>
      </c>
      <c r="F93" s="2" t="s">
        <v>289</v>
      </c>
      <c r="G93" s="2" t="s">
        <v>353</v>
      </c>
      <c r="H93" s="2" t="s">
        <v>289</v>
      </c>
      <c r="I93" s="2" t="str">
        <f>IF(F93=H93,"YES","NO")</f>
        <v>YES</v>
      </c>
      <c r="J93" s="2" t="s">
        <v>318</v>
      </c>
      <c r="K93" s="2" t="s">
        <v>367</v>
      </c>
      <c r="L93" s="2" t="s">
        <v>363</v>
      </c>
      <c r="M93" s="2" t="str">
        <f>IF(E93=L93,"YES","NO")</f>
        <v>YES</v>
      </c>
      <c r="N93" s="2" t="str">
        <f>IF(D93=K93,"YES","NO")</f>
        <v>YES</v>
      </c>
      <c r="O93" s="2" t="str">
        <f>IF(C93=G93,"YES","NO")</f>
        <v>YES</v>
      </c>
      <c r="P93" s="2">
        <v>200.5</v>
      </c>
      <c r="Q93" s="2">
        <v>1.89</v>
      </c>
      <c r="R93" s="2">
        <v>2.0699999999999998</v>
      </c>
      <c r="S93" s="10">
        <f>1000/P93</f>
        <v>4.9875311720698257</v>
      </c>
      <c r="T93" s="10">
        <f>36-S93</f>
        <v>31.012468827930174</v>
      </c>
      <c r="U93" s="10">
        <v>35.486640930175781</v>
      </c>
      <c r="V93" s="10">
        <v>34.157489776611328</v>
      </c>
      <c r="W93" s="10">
        <v>33.399456024169922</v>
      </c>
      <c r="X93" s="34">
        <f>1/U93</f>
        <v>2.817961840816717E-2</v>
      </c>
      <c r="Y93" s="34">
        <f>1/V93</f>
        <v>2.9276156021416141E-2</v>
      </c>
      <c r="Z93" s="36">
        <f>1/W93</f>
        <v>2.9940607394214381E-2</v>
      </c>
      <c r="AA93" s="36">
        <f>AVERAGE(X93:Z93)</f>
        <v>2.9132127274599229E-2</v>
      </c>
      <c r="AB93" s="2">
        <v>188</v>
      </c>
      <c r="AC93" s="2">
        <v>1.596490572141386</v>
      </c>
    </row>
    <row r="94" spans="1:29" x14ac:dyDescent="0.2">
      <c r="A94" s="2" t="s">
        <v>97</v>
      </c>
      <c r="B94" s="2">
        <v>93</v>
      </c>
      <c r="C94" s="2" t="s">
        <v>349</v>
      </c>
      <c r="D94" s="2" t="s">
        <v>365</v>
      </c>
      <c r="E94" s="2" t="s">
        <v>361</v>
      </c>
      <c r="F94" s="2" t="s">
        <v>290</v>
      </c>
      <c r="G94" s="2" t="s">
        <v>349</v>
      </c>
      <c r="H94" s="2" t="s">
        <v>290</v>
      </c>
      <c r="I94" s="2" t="str">
        <f>IF(F94=H94,"YES","NO")</f>
        <v>YES</v>
      </c>
      <c r="J94" s="2" t="s">
        <v>318</v>
      </c>
      <c r="K94" s="2" t="s">
        <v>365</v>
      </c>
      <c r="L94" s="2" t="s">
        <v>361</v>
      </c>
      <c r="M94" s="2" t="str">
        <f>IF(E94=L94,"YES","NO")</f>
        <v>YES</v>
      </c>
      <c r="N94" s="2" t="str">
        <f>IF(D94=K94,"YES","NO")</f>
        <v>YES</v>
      </c>
      <c r="O94" s="2" t="str">
        <f>IF(C94=G94,"YES","NO")</f>
        <v>YES</v>
      </c>
      <c r="P94" s="2">
        <v>124.4</v>
      </c>
      <c r="Q94" s="2">
        <v>1.85</v>
      </c>
      <c r="R94" s="2">
        <v>1.63</v>
      </c>
      <c r="S94" s="10">
        <f>1000/P94</f>
        <v>8.0385852090032159</v>
      </c>
      <c r="T94" s="10">
        <f>36-S94</f>
        <v>27.961414790996784</v>
      </c>
      <c r="U94" s="17" t="s">
        <v>162</v>
      </c>
      <c r="V94" s="17">
        <v>34.222759246826172</v>
      </c>
      <c r="W94" s="17">
        <v>39.382053375244141</v>
      </c>
      <c r="X94" s="31" t="s">
        <v>192</v>
      </c>
      <c r="Y94" s="31">
        <f>1/V94</f>
        <v>2.9220320687401623E-2</v>
      </c>
      <c r="Z94" s="33">
        <f>1/W94</f>
        <v>2.5392276793485016E-2</v>
      </c>
      <c r="AA94" s="33">
        <f>AVERAGE(X94:Z94)</f>
        <v>2.7306298740443317E-2</v>
      </c>
      <c r="AB94" s="2">
        <v>10</v>
      </c>
      <c r="AC94" s="2">
        <v>9.00146289614637E-2</v>
      </c>
    </row>
    <row r="95" spans="1:29" x14ac:dyDescent="0.2">
      <c r="A95" s="2" t="s">
        <v>98</v>
      </c>
      <c r="B95" s="2">
        <v>94</v>
      </c>
      <c r="C95" s="2" t="s">
        <v>353</v>
      </c>
      <c r="D95" s="2" t="s">
        <v>366</v>
      </c>
      <c r="E95" s="2" t="s">
        <v>362</v>
      </c>
      <c r="F95" s="2" t="s">
        <v>291</v>
      </c>
      <c r="G95" s="2" t="s">
        <v>353</v>
      </c>
      <c r="H95" s="2" t="s">
        <v>291</v>
      </c>
      <c r="I95" s="2" t="str">
        <f>IF(F95=H95,"YES","NO")</f>
        <v>YES</v>
      </c>
      <c r="J95" s="2" t="s">
        <v>318</v>
      </c>
      <c r="K95" s="2" t="s">
        <v>366</v>
      </c>
      <c r="L95" s="2" t="s">
        <v>362</v>
      </c>
      <c r="M95" s="2" t="str">
        <f>IF(E95=L95,"YES","NO")</f>
        <v>YES</v>
      </c>
      <c r="N95" s="2" t="str">
        <f>IF(D95=K95,"YES","NO")</f>
        <v>YES</v>
      </c>
      <c r="O95" s="2" t="str">
        <f>IF(C95=G95,"YES","NO")</f>
        <v>YES</v>
      </c>
      <c r="P95" s="2">
        <v>89.91</v>
      </c>
      <c r="Q95" s="2">
        <v>1.86</v>
      </c>
      <c r="R95" s="2">
        <v>1.81</v>
      </c>
      <c r="S95" s="10">
        <f>1000/P95</f>
        <v>11.122233344455568</v>
      </c>
      <c r="T95" s="10">
        <f>36-S95</f>
        <v>24.877766655544434</v>
      </c>
      <c r="U95" s="10">
        <v>35.418292999267578</v>
      </c>
      <c r="V95" s="10">
        <v>36.728450775146484</v>
      </c>
      <c r="W95" s="10">
        <v>35.559024810791016</v>
      </c>
      <c r="X95" s="34">
        <f>1/U95</f>
        <v>2.8233997613060551E-2</v>
      </c>
      <c r="Y95" s="34">
        <f>1/V95</f>
        <v>2.7226849455808871E-2</v>
      </c>
      <c r="Z95" s="36">
        <f>1/W95</f>
        <v>2.8122256032638227E-2</v>
      </c>
      <c r="AA95" s="36">
        <f>AVERAGE(X95:Z95)</f>
        <v>2.7861034367169215E-2</v>
      </c>
      <c r="AB95" s="2">
        <v>8</v>
      </c>
      <c r="AC95" s="2">
        <v>7.7631970755924817E-2</v>
      </c>
    </row>
    <row r="96" spans="1:29" x14ac:dyDescent="0.2">
      <c r="A96" s="2" t="s">
        <v>99</v>
      </c>
      <c r="B96" s="2">
        <v>95</v>
      </c>
      <c r="C96" s="2" t="s">
        <v>341</v>
      </c>
      <c r="D96" s="2" t="s">
        <v>366</v>
      </c>
      <c r="E96" s="2" t="s">
        <v>362</v>
      </c>
      <c r="F96" s="2" t="s">
        <v>292</v>
      </c>
      <c r="G96" s="2" t="s">
        <v>341</v>
      </c>
      <c r="H96" s="2" t="s">
        <v>292</v>
      </c>
      <c r="I96" s="2" t="str">
        <f>IF(F96=H96,"YES","NO")</f>
        <v>YES</v>
      </c>
      <c r="J96" s="2" t="s">
        <v>318</v>
      </c>
      <c r="K96" s="2" t="s">
        <v>366</v>
      </c>
      <c r="L96" s="2" t="s">
        <v>362</v>
      </c>
      <c r="M96" s="2" t="str">
        <f>IF(E96=L96,"YES","NO")</f>
        <v>YES</v>
      </c>
      <c r="N96" s="2" t="str">
        <f>IF(D96=K96,"YES","NO")</f>
        <v>YES</v>
      </c>
      <c r="O96" s="2" t="str">
        <f>IF(C96=G96,"YES","NO")</f>
        <v>YES</v>
      </c>
      <c r="P96" s="2">
        <v>141.80000000000001</v>
      </c>
      <c r="Q96" s="2">
        <v>1.86</v>
      </c>
      <c r="R96" s="2">
        <v>1.63</v>
      </c>
      <c r="S96" s="10">
        <f>1000/P96</f>
        <v>7.0521861777150914</v>
      </c>
      <c r="T96" s="10">
        <f>36-S96</f>
        <v>28.947813822284907</v>
      </c>
      <c r="U96" s="10" t="s">
        <v>162</v>
      </c>
      <c r="V96" s="10" t="s">
        <v>162</v>
      </c>
      <c r="W96" s="10" t="s">
        <v>162</v>
      </c>
      <c r="X96" s="39">
        <v>0</v>
      </c>
      <c r="Y96" s="39">
        <v>0</v>
      </c>
      <c r="Z96" s="39">
        <v>0</v>
      </c>
      <c r="AA96" s="39">
        <v>0</v>
      </c>
      <c r="AB96" s="2">
        <v>0</v>
      </c>
      <c r="AC96" s="2">
        <v>0</v>
      </c>
    </row>
    <row r="97" spans="1:29" x14ac:dyDescent="0.2">
      <c r="A97" s="2" t="s">
        <v>100</v>
      </c>
      <c r="B97" s="2">
        <v>96</v>
      </c>
      <c r="C97" s="2" t="s">
        <v>347</v>
      </c>
      <c r="D97" s="2" t="s">
        <v>366</v>
      </c>
      <c r="E97" s="2" t="s">
        <v>362</v>
      </c>
      <c r="F97" s="2" t="s">
        <v>293</v>
      </c>
      <c r="G97" s="2" t="s">
        <v>347</v>
      </c>
      <c r="H97" s="2" t="s">
        <v>293</v>
      </c>
      <c r="I97" s="2" t="str">
        <f>IF(F97=H97,"YES","NO")</f>
        <v>YES</v>
      </c>
      <c r="J97" s="2" t="s">
        <v>318</v>
      </c>
      <c r="K97" s="2" t="s">
        <v>366</v>
      </c>
      <c r="L97" s="2" t="s">
        <v>362</v>
      </c>
      <c r="M97" s="2" t="str">
        <f>IF(E97=L97,"YES","NO")</f>
        <v>YES</v>
      </c>
      <c r="N97" s="2" t="str">
        <f>IF(D97=K97,"YES","NO")</f>
        <v>YES</v>
      </c>
      <c r="O97" s="2" t="str">
        <f>IF(C97=G97,"YES","NO")</f>
        <v>YES</v>
      </c>
      <c r="P97" s="2">
        <v>128.80000000000001</v>
      </c>
      <c r="Q97" s="2">
        <v>1.89</v>
      </c>
      <c r="R97" s="2">
        <v>1.79</v>
      </c>
      <c r="S97" s="10">
        <f>1000/P97</f>
        <v>7.7639751552795024</v>
      </c>
      <c r="T97" s="10">
        <f>36-S97</f>
        <v>28.236024844720497</v>
      </c>
      <c r="U97" s="17">
        <v>35.553173065185547</v>
      </c>
      <c r="V97" s="17" t="s">
        <v>162</v>
      </c>
      <c r="W97" s="17">
        <v>35.556827545166016</v>
      </c>
      <c r="X97" s="31">
        <f>1/U97</f>
        <v>2.8126884713399102E-2</v>
      </c>
      <c r="Y97" s="31" t="s">
        <v>192</v>
      </c>
      <c r="Z97" s="33">
        <f>1/W97</f>
        <v>2.8123993872337213E-2</v>
      </c>
      <c r="AA97" s="33">
        <f>AVERAGE(X97:Z97)</f>
        <v>2.8125439292868155E-2</v>
      </c>
      <c r="AB97" s="2">
        <v>5</v>
      </c>
      <c r="AC97" s="2">
        <v>3.8391301728591211E-2</v>
      </c>
    </row>
    <row r="98" spans="1:29" x14ac:dyDescent="0.2">
      <c r="A98" s="2" t="s">
        <v>101</v>
      </c>
      <c r="B98" s="2">
        <v>97</v>
      </c>
      <c r="C98" s="2" t="s">
        <v>354</v>
      </c>
      <c r="D98" s="2" t="s">
        <v>367</v>
      </c>
      <c r="E98" s="2" t="s">
        <v>363</v>
      </c>
      <c r="F98" s="2" t="s">
        <v>294</v>
      </c>
      <c r="G98" s="2" t="s">
        <v>354</v>
      </c>
      <c r="H98" s="2" t="s">
        <v>294</v>
      </c>
      <c r="I98" s="2" t="str">
        <f>IF(F98=H98,"YES","NO")</f>
        <v>YES</v>
      </c>
      <c r="J98" s="2" t="s">
        <v>318</v>
      </c>
      <c r="K98" s="2" t="s">
        <v>367</v>
      </c>
      <c r="L98" s="2" t="s">
        <v>363</v>
      </c>
      <c r="M98" s="2" t="str">
        <f>IF(E98=L98,"YES","NO")</f>
        <v>YES</v>
      </c>
      <c r="N98" s="2" t="str">
        <f>IF(D98=K98,"YES","NO")</f>
        <v>YES</v>
      </c>
      <c r="O98" s="2" t="str">
        <f>IF(C98=G98,"YES","NO")</f>
        <v>YES</v>
      </c>
      <c r="P98" s="2">
        <v>79.44</v>
      </c>
      <c r="Q98" s="2">
        <v>1.82</v>
      </c>
      <c r="R98" s="2">
        <v>1.85</v>
      </c>
      <c r="S98" s="10">
        <f>1000/P98</f>
        <v>12.588116817724069</v>
      </c>
      <c r="T98" s="10">
        <f>36-S98</f>
        <v>23.411883182275929</v>
      </c>
      <c r="U98" s="10">
        <v>33.3099365234375</v>
      </c>
      <c r="V98" s="10">
        <v>34.793067932128906</v>
      </c>
      <c r="W98" s="10">
        <v>33.975601196289062</v>
      </c>
      <c r="X98" s="34">
        <f>1/U98</f>
        <v>3.0021071919377005E-2</v>
      </c>
      <c r="Y98" s="34">
        <f>1/V98</f>
        <v>2.8741357386210017E-2</v>
      </c>
      <c r="Z98" s="36">
        <f>1/W98</f>
        <v>2.9432886094425421E-2</v>
      </c>
      <c r="AA98" s="36">
        <f>AVERAGE(X98:Z98)</f>
        <v>2.9398438466670812E-2</v>
      </c>
      <c r="AB98" s="2">
        <v>97</v>
      </c>
      <c r="AC98" s="2">
        <v>0.66637008277378318</v>
      </c>
    </row>
    <row r="99" spans="1:29" x14ac:dyDescent="0.2">
      <c r="A99" s="2" t="s">
        <v>102</v>
      </c>
      <c r="B99" s="2">
        <v>98</v>
      </c>
      <c r="C99" s="2" t="s">
        <v>354</v>
      </c>
      <c r="D99" s="2" t="s">
        <v>366</v>
      </c>
      <c r="E99" s="2" t="s">
        <v>362</v>
      </c>
      <c r="F99" s="2" t="s">
        <v>295</v>
      </c>
      <c r="G99" s="2" t="s">
        <v>354</v>
      </c>
      <c r="H99" s="2" t="s">
        <v>295</v>
      </c>
      <c r="I99" s="2" t="str">
        <f>IF(F99=H99,"YES","NO")</f>
        <v>YES</v>
      </c>
      <c r="J99" s="2" t="s">
        <v>318</v>
      </c>
      <c r="K99" s="2" t="s">
        <v>366</v>
      </c>
      <c r="L99" s="2" t="s">
        <v>362</v>
      </c>
      <c r="M99" s="2" t="str">
        <f>IF(E99=L99,"YES","NO")</f>
        <v>YES</v>
      </c>
      <c r="N99" s="2" t="str">
        <f>IF(D99=K99,"YES","NO")</f>
        <v>YES</v>
      </c>
      <c r="O99" s="2" t="str">
        <f>IF(C99=G99,"YES","NO")</f>
        <v>YES</v>
      </c>
      <c r="P99" s="2">
        <v>66.36</v>
      </c>
      <c r="Q99" s="2">
        <v>1.88</v>
      </c>
      <c r="R99" s="2">
        <v>1.83</v>
      </c>
      <c r="S99" s="10">
        <f>1000/P99</f>
        <v>15.069318866787221</v>
      </c>
      <c r="T99" s="10">
        <f>36-S99</f>
        <v>20.930681133212779</v>
      </c>
      <c r="U99" s="10">
        <v>34.403377532958984</v>
      </c>
      <c r="V99" s="10">
        <v>33.003837585449219</v>
      </c>
      <c r="W99" s="10">
        <v>33.125530242919922</v>
      </c>
      <c r="X99" s="34">
        <f>1/U99</f>
        <v>2.9066913533183886E-2</v>
      </c>
      <c r="Y99" s="34">
        <f>1/V99</f>
        <v>3.0299506759204314E-2</v>
      </c>
      <c r="Z99" s="36">
        <f>1/W99</f>
        <v>3.0188196012763745E-2</v>
      </c>
      <c r="AA99" s="36">
        <f>AVERAGE(X99:Z99)</f>
        <v>2.9851538768383982E-2</v>
      </c>
      <c r="AB99" s="2">
        <v>26</v>
      </c>
      <c r="AC99" s="2">
        <v>0.2264201372109822</v>
      </c>
    </row>
    <row r="100" spans="1:29" x14ac:dyDescent="0.2">
      <c r="A100" s="2" t="s">
        <v>103</v>
      </c>
      <c r="B100" s="2">
        <v>99</v>
      </c>
      <c r="C100" s="2" t="s">
        <v>354</v>
      </c>
      <c r="D100" s="2" t="s">
        <v>365</v>
      </c>
      <c r="E100" s="2" t="s">
        <v>361</v>
      </c>
      <c r="F100" s="2" t="s">
        <v>296</v>
      </c>
      <c r="G100" s="2" t="s">
        <v>354</v>
      </c>
      <c r="H100" s="2" t="s">
        <v>296</v>
      </c>
      <c r="I100" s="2" t="str">
        <f>IF(F100=H100,"YES","NO")</f>
        <v>YES</v>
      </c>
      <c r="J100" s="2" t="s">
        <v>318</v>
      </c>
      <c r="K100" s="2" t="s">
        <v>365</v>
      </c>
      <c r="L100" s="2" t="s">
        <v>361</v>
      </c>
      <c r="M100" s="2" t="str">
        <f>IF(E100=L100,"YES","NO")</f>
        <v>YES</v>
      </c>
      <c r="N100" s="2" t="str">
        <f>IF(D100=K100,"YES","NO")</f>
        <v>YES</v>
      </c>
      <c r="O100" s="2" t="str">
        <f>IF(C100=G100,"YES","NO")</f>
        <v>YES</v>
      </c>
      <c r="P100" s="2">
        <v>120.9</v>
      </c>
      <c r="Q100" s="2">
        <v>1.85</v>
      </c>
      <c r="R100" s="2">
        <v>1.84</v>
      </c>
      <c r="S100" s="10">
        <f>1000/P100</f>
        <v>8.2712985938792389</v>
      </c>
      <c r="T100" s="10">
        <f>36-S100</f>
        <v>27.728701406120763</v>
      </c>
      <c r="U100" s="10">
        <v>33.875888824462891</v>
      </c>
      <c r="V100" s="10">
        <v>33.88330078125</v>
      </c>
      <c r="W100" s="10">
        <v>32.439319610595703</v>
      </c>
      <c r="X100" s="34">
        <f>1/U100</f>
        <v>2.9519520659126358E-2</v>
      </c>
      <c r="Y100" s="34">
        <f>1/V100</f>
        <v>2.9513063277275806E-2</v>
      </c>
      <c r="Z100" s="36">
        <f>1/W100</f>
        <v>3.0826787121434215E-2</v>
      </c>
      <c r="AA100" s="36">
        <f>AVERAGE(X100:Z100)</f>
        <v>2.9953123685945462E-2</v>
      </c>
      <c r="AB100" s="2">
        <v>6</v>
      </c>
      <c r="AC100" s="2">
        <v>4.3860415980500222E-2</v>
      </c>
    </row>
    <row r="101" spans="1:29" x14ac:dyDescent="0.2">
      <c r="A101" s="2" t="s">
        <v>104</v>
      </c>
      <c r="B101" s="2">
        <v>100</v>
      </c>
      <c r="C101" s="2" t="s">
        <v>350</v>
      </c>
      <c r="D101" s="2" t="s">
        <v>367</v>
      </c>
      <c r="E101" s="2" t="s">
        <v>363</v>
      </c>
      <c r="F101" s="2" t="s">
        <v>297</v>
      </c>
      <c r="G101" s="2" t="s">
        <v>350</v>
      </c>
      <c r="H101" s="2" t="s">
        <v>297</v>
      </c>
      <c r="I101" s="2" t="str">
        <f>IF(F101=H101,"YES","NO")</f>
        <v>YES</v>
      </c>
      <c r="J101" s="2" t="s">
        <v>318</v>
      </c>
      <c r="K101" s="2" t="s">
        <v>367</v>
      </c>
      <c r="L101" s="2" t="s">
        <v>363</v>
      </c>
      <c r="M101" s="2" t="str">
        <f>IF(E101=L101,"YES","NO")</f>
        <v>YES</v>
      </c>
      <c r="N101" s="2" t="str">
        <f>IF(D101=K101,"YES","NO")</f>
        <v>YES</v>
      </c>
      <c r="O101" s="2" t="str">
        <f>IF(C101=G101,"YES","NO")</f>
        <v>YES</v>
      </c>
      <c r="P101" s="2">
        <v>59.45</v>
      </c>
      <c r="Q101" s="2">
        <v>1.94</v>
      </c>
      <c r="R101" s="2">
        <v>1.82</v>
      </c>
      <c r="S101" s="10">
        <f>1000/P101</f>
        <v>16.820857863751051</v>
      </c>
      <c r="T101" s="10">
        <f>36-S101</f>
        <v>19.179142136248949</v>
      </c>
      <c r="U101" s="10">
        <v>35.361888885498047</v>
      </c>
      <c r="V101" s="10">
        <v>34.451335906982422</v>
      </c>
      <c r="W101" s="10">
        <v>32.532627105712891</v>
      </c>
      <c r="X101" s="34">
        <f>1/U101</f>
        <v>2.8279032357066795E-2</v>
      </c>
      <c r="Y101" s="34">
        <f>1/V101</f>
        <v>2.9026450605572164E-2</v>
      </c>
      <c r="Z101" s="36">
        <f>1/W101</f>
        <v>3.0738372180966443E-2</v>
      </c>
      <c r="AA101" s="36">
        <f>AVERAGE(X101:Z101)</f>
        <v>2.9347951714535137E-2</v>
      </c>
      <c r="AB101" s="2">
        <v>582</v>
      </c>
      <c r="AC101" s="2">
        <v>4.1638849244379941</v>
      </c>
    </row>
    <row r="102" spans="1:29" x14ac:dyDescent="0.2">
      <c r="A102" s="2" t="s">
        <v>105</v>
      </c>
      <c r="B102" s="2">
        <v>101</v>
      </c>
      <c r="C102" s="2" t="s">
        <v>355</v>
      </c>
      <c r="D102" s="2" t="s">
        <v>365</v>
      </c>
      <c r="E102" s="2" t="s">
        <v>361</v>
      </c>
      <c r="F102" s="2" t="s">
        <v>298</v>
      </c>
      <c r="G102" s="2" t="s">
        <v>355</v>
      </c>
      <c r="H102" s="2" t="s">
        <v>298</v>
      </c>
      <c r="I102" s="2" t="str">
        <f>IF(F102=H102,"YES","NO")</f>
        <v>YES</v>
      </c>
      <c r="J102" s="2" t="s">
        <v>318</v>
      </c>
      <c r="K102" s="2" t="s">
        <v>365</v>
      </c>
      <c r="L102" s="2" t="s">
        <v>361</v>
      </c>
      <c r="M102" s="2" t="str">
        <f>IF(E102=L102,"YES","NO")</f>
        <v>YES</v>
      </c>
      <c r="N102" s="2" t="str">
        <f>IF(D102=K102,"YES","NO")</f>
        <v>YES</v>
      </c>
      <c r="O102" s="2" t="str">
        <f>IF(C102=G102,"YES","NO")</f>
        <v>YES</v>
      </c>
      <c r="P102" s="2">
        <v>59.16</v>
      </c>
      <c r="Q102" s="2">
        <v>1.84</v>
      </c>
      <c r="R102" s="2">
        <v>1.77</v>
      </c>
      <c r="S102" s="10">
        <f>1000/P102</f>
        <v>16.903313049357674</v>
      </c>
      <c r="T102" s="10">
        <f>36-S102</f>
        <v>19.096686950642326</v>
      </c>
      <c r="U102" s="10">
        <v>35.674560546875</v>
      </c>
      <c r="V102" s="10">
        <v>35.902641296386719</v>
      </c>
      <c r="W102" s="10">
        <v>33.848251342773438</v>
      </c>
      <c r="X102" s="34">
        <f>1/U102</f>
        <v>2.8031179212033696E-2</v>
      </c>
      <c r="Y102" s="34">
        <f>1/V102</f>
        <v>2.7853103946996822E-2</v>
      </c>
      <c r="Z102" s="36">
        <f>1/W102</f>
        <v>2.9543623683044379E-2</v>
      </c>
      <c r="AA102" s="36">
        <f>AVERAGE(X102:Z102)</f>
        <v>2.8475968947358297E-2</v>
      </c>
      <c r="AB102" s="2">
        <v>58</v>
      </c>
      <c r="AC102" s="2">
        <v>0.43556470737817943</v>
      </c>
    </row>
    <row r="103" spans="1:29" x14ac:dyDescent="0.2">
      <c r="A103" s="2" t="s">
        <v>106</v>
      </c>
      <c r="B103" s="2">
        <v>102</v>
      </c>
      <c r="C103" s="2" t="s">
        <v>356</v>
      </c>
      <c r="D103" s="2" t="s">
        <v>366</v>
      </c>
      <c r="E103" s="2" t="s">
        <v>362</v>
      </c>
      <c r="F103" s="2" t="s">
        <v>299</v>
      </c>
      <c r="G103" s="2" t="s">
        <v>356</v>
      </c>
      <c r="H103" s="2" t="s">
        <v>299</v>
      </c>
      <c r="I103" s="2" t="str">
        <f>IF(F103=H103,"YES","NO")</f>
        <v>YES</v>
      </c>
      <c r="J103" s="2" t="s">
        <v>318</v>
      </c>
      <c r="K103" s="2" t="s">
        <v>366</v>
      </c>
      <c r="L103" s="2" t="s">
        <v>362</v>
      </c>
      <c r="M103" s="2" t="str">
        <f>IF(E103=L103,"YES","NO")</f>
        <v>YES</v>
      </c>
      <c r="N103" s="2" t="str">
        <f>IF(D103=K103,"YES","NO")</f>
        <v>YES</v>
      </c>
      <c r="O103" s="2" t="str">
        <f>IF(C103=G103,"YES","NO")</f>
        <v>YES</v>
      </c>
      <c r="P103" s="2">
        <v>203.4</v>
      </c>
      <c r="Q103" s="2">
        <v>1.86</v>
      </c>
      <c r="R103" s="2">
        <v>1.91</v>
      </c>
      <c r="S103" s="10">
        <f>1000/P103</f>
        <v>4.9164208456243852</v>
      </c>
      <c r="T103" s="10">
        <f>36-S103</f>
        <v>31.083579154375613</v>
      </c>
      <c r="U103" s="17">
        <v>35.553485870361328</v>
      </c>
      <c r="V103" s="17" t="s">
        <v>162</v>
      </c>
      <c r="W103" s="17" t="s">
        <v>162</v>
      </c>
      <c r="X103" s="31">
        <f>1/U103</f>
        <v>2.8126637248631538E-2</v>
      </c>
      <c r="Y103" s="31" t="s">
        <v>192</v>
      </c>
      <c r="Z103" s="31" t="s">
        <v>192</v>
      </c>
      <c r="AA103" s="33">
        <f>AVERAGE(X103:Z103)</f>
        <v>2.8126637248631538E-2</v>
      </c>
      <c r="AB103" s="2">
        <v>133</v>
      </c>
      <c r="AC103" s="2">
        <v>0.89262504983355029</v>
      </c>
    </row>
    <row r="104" spans="1:29" x14ac:dyDescent="0.2">
      <c r="A104" s="2" t="s">
        <v>107</v>
      </c>
      <c r="B104" s="2">
        <v>103</v>
      </c>
      <c r="C104" s="2" t="s">
        <v>356</v>
      </c>
      <c r="D104" s="2" t="s">
        <v>365</v>
      </c>
      <c r="E104" s="2" t="s">
        <v>361</v>
      </c>
      <c r="F104" s="2" t="s">
        <v>300</v>
      </c>
      <c r="G104" s="2" t="s">
        <v>356</v>
      </c>
      <c r="H104" s="2" t="s">
        <v>300</v>
      </c>
      <c r="I104" s="2" t="str">
        <f>IF(F104=H104,"YES","NO")</f>
        <v>YES</v>
      </c>
      <c r="J104" s="2" t="s">
        <v>318</v>
      </c>
      <c r="K104" s="2" t="s">
        <v>365</v>
      </c>
      <c r="L104" s="2" t="s">
        <v>361</v>
      </c>
      <c r="M104" s="2" t="str">
        <f>IF(E104=L104,"YES","NO")</f>
        <v>YES</v>
      </c>
      <c r="N104" s="2" t="str">
        <f>IF(D104=K104,"YES","NO")</f>
        <v>YES</v>
      </c>
      <c r="O104" s="2" t="str">
        <f>IF(C104=G104,"YES","NO")</f>
        <v>YES</v>
      </c>
      <c r="P104" s="2">
        <v>117.1</v>
      </c>
      <c r="Q104" s="2">
        <v>1.86</v>
      </c>
      <c r="R104" s="2">
        <v>1.83</v>
      </c>
      <c r="S104" s="10">
        <f>1000/P104</f>
        <v>8.5397096498719041</v>
      </c>
      <c r="T104" s="10">
        <f>36-S104</f>
        <v>27.460290350128098</v>
      </c>
      <c r="U104" s="17" t="s">
        <v>162</v>
      </c>
      <c r="V104" s="17">
        <v>35.750080108642578</v>
      </c>
      <c r="W104" s="17">
        <v>34.620353698730469</v>
      </c>
      <c r="X104" s="31" t="s">
        <v>192</v>
      </c>
      <c r="Y104" s="31">
        <f>1/V104</f>
        <v>2.797196529241483E-2</v>
      </c>
      <c r="Z104" s="33">
        <f>1/W104</f>
        <v>2.8884742446657039E-2</v>
      </c>
      <c r="AA104" s="33">
        <f>AVERAGE(X104:Z104)</f>
        <v>2.8428353869535933E-2</v>
      </c>
      <c r="AB104" s="2">
        <v>0</v>
      </c>
      <c r="AC104" s="2">
        <v>0</v>
      </c>
    </row>
    <row r="105" spans="1:29" x14ac:dyDescent="0.2">
      <c r="A105" s="2" t="s">
        <v>108</v>
      </c>
      <c r="B105" s="2">
        <v>104</v>
      </c>
      <c r="C105" s="2" t="s">
        <v>355</v>
      </c>
      <c r="D105" s="2" t="s">
        <v>366</v>
      </c>
      <c r="E105" s="2" t="s">
        <v>362</v>
      </c>
      <c r="F105" s="2" t="s">
        <v>301</v>
      </c>
      <c r="G105" s="2" t="s">
        <v>355</v>
      </c>
      <c r="H105" s="2" t="s">
        <v>301</v>
      </c>
      <c r="I105" s="2" t="str">
        <f>IF(F105=H105,"YES","NO")</f>
        <v>YES</v>
      </c>
      <c r="J105" s="2" t="s">
        <v>318</v>
      </c>
      <c r="K105" s="2" t="s">
        <v>366</v>
      </c>
      <c r="L105" s="2" t="s">
        <v>362</v>
      </c>
      <c r="M105" s="2" t="str">
        <f>IF(E105=L105,"YES","NO")</f>
        <v>YES</v>
      </c>
      <c r="N105" s="2" t="str">
        <f>IF(D105=K105,"YES","NO")</f>
        <v>YES</v>
      </c>
      <c r="O105" s="2" t="str">
        <f>IF(C105=G105,"YES","NO")</f>
        <v>YES</v>
      </c>
      <c r="P105" s="2">
        <v>33.4</v>
      </c>
      <c r="Q105" s="2">
        <v>2.0099999999999998</v>
      </c>
      <c r="R105" s="2">
        <v>1.8</v>
      </c>
      <c r="S105" s="10">
        <f>1000/P105</f>
        <v>29.940119760479043</v>
      </c>
      <c r="T105" s="10">
        <f>36-S105</f>
        <v>6.0598802395209574</v>
      </c>
      <c r="U105" s="17" t="s">
        <v>162</v>
      </c>
      <c r="V105" s="17">
        <v>33.4305419921875</v>
      </c>
      <c r="W105" s="17">
        <v>34.997222900390625</v>
      </c>
      <c r="X105" s="31" t="s">
        <v>192</v>
      </c>
      <c r="Y105" s="31">
        <f>1/V105</f>
        <v>2.9912766602279241E-2</v>
      </c>
      <c r="Z105" s="33">
        <f>1/W105</f>
        <v>2.8573695771410435E-2</v>
      </c>
      <c r="AA105" s="33">
        <f>AVERAGE(X105:Z105)</f>
        <v>2.924323118684484E-2</v>
      </c>
      <c r="AB105" s="2">
        <v>16</v>
      </c>
      <c r="AC105" s="2">
        <v>0.13665065388451239</v>
      </c>
    </row>
    <row r="106" spans="1:29" x14ac:dyDescent="0.2">
      <c r="A106" s="2" t="s">
        <v>109</v>
      </c>
      <c r="B106" s="2">
        <v>105</v>
      </c>
      <c r="C106" s="2" t="s">
        <v>355</v>
      </c>
      <c r="D106" s="2" t="s">
        <v>367</v>
      </c>
      <c r="E106" s="2" t="s">
        <v>363</v>
      </c>
      <c r="F106" s="2" t="s">
        <v>302</v>
      </c>
      <c r="G106" s="2" t="s">
        <v>355</v>
      </c>
      <c r="H106" s="2" t="s">
        <v>302</v>
      </c>
      <c r="I106" s="2" t="str">
        <f>IF(F106=H106,"YES","NO")</f>
        <v>YES</v>
      </c>
      <c r="J106" s="2" t="s">
        <v>318</v>
      </c>
      <c r="K106" s="2" t="s">
        <v>367</v>
      </c>
      <c r="L106" s="2" t="s">
        <v>363</v>
      </c>
      <c r="M106" s="2" t="str">
        <f>IF(E106=L106,"YES","NO")</f>
        <v>YES</v>
      </c>
      <c r="N106" s="2" t="str">
        <f>IF(D106=K106,"YES","NO")</f>
        <v>YES</v>
      </c>
      <c r="O106" s="2" t="str">
        <f>IF(C106=G106,"YES","NO")</f>
        <v>YES</v>
      </c>
      <c r="P106" s="2">
        <v>112.8</v>
      </c>
      <c r="Q106" s="2">
        <v>1.86</v>
      </c>
      <c r="R106" s="2">
        <v>1.68</v>
      </c>
      <c r="S106" s="10">
        <f>1000/P106</f>
        <v>8.8652482269503547</v>
      </c>
      <c r="T106" s="10">
        <f>36-S106</f>
        <v>27.134751773049643</v>
      </c>
      <c r="U106" s="10">
        <v>35.370979309082031</v>
      </c>
      <c r="V106" s="10">
        <v>33.728511810302734</v>
      </c>
      <c r="W106" s="10">
        <v>35.603282928466797</v>
      </c>
      <c r="X106" s="34">
        <f>1/U106</f>
        <v>2.8271764580270892E-2</v>
      </c>
      <c r="Y106" s="34">
        <f>1/V106</f>
        <v>2.9648506451284914E-2</v>
      </c>
      <c r="Z106" s="36">
        <f>1/W106</f>
        <v>2.8087297511557412E-2</v>
      </c>
      <c r="AA106" s="36">
        <f>AVERAGE(X106:Z106)</f>
        <v>2.8669189514371075E-2</v>
      </c>
      <c r="AB106" s="2">
        <v>30</v>
      </c>
      <c r="AC106" s="2">
        <v>0.25832661254572259</v>
      </c>
    </row>
    <row r="107" spans="1:29" x14ac:dyDescent="0.2">
      <c r="A107" s="2" t="s">
        <v>110</v>
      </c>
      <c r="B107" s="2">
        <v>106</v>
      </c>
      <c r="C107" s="2" t="s">
        <v>356</v>
      </c>
      <c r="D107" s="2" t="s">
        <v>367</v>
      </c>
      <c r="E107" s="2" t="s">
        <v>363</v>
      </c>
      <c r="F107" s="2" t="s">
        <v>303</v>
      </c>
      <c r="G107" s="2" t="s">
        <v>356</v>
      </c>
      <c r="H107" s="2" t="s">
        <v>303</v>
      </c>
      <c r="I107" s="2" t="str">
        <f>IF(F107=H107,"YES","NO")</f>
        <v>YES</v>
      </c>
      <c r="J107" s="2" t="s">
        <v>318</v>
      </c>
      <c r="K107" s="2" t="s">
        <v>367</v>
      </c>
      <c r="L107" s="2" t="s">
        <v>363</v>
      </c>
      <c r="M107" s="2" t="str">
        <f>IF(E107=L107,"YES","NO")</f>
        <v>YES</v>
      </c>
      <c r="N107" s="2" t="str">
        <f>IF(D107=K107,"YES","NO")</f>
        <v>YES</v>
      </c>
      <c r="O107" s="2" t="str">
        <f>IF(C107=G107,"YES","NO")</f>
        <v>YES</v>
      </c>
      <c r="P107" s="2">
        <v>43.23</v>
      </c>
      <c r="Q107" s="2">
        <v>1.92</v>
      </c>
      <c r="R107" s="2">
        <v>1.89</v>
      </c>
      <c r="S107" s="10">
        <f>1000/P107</f>
        <v>23.132084200786494</v>
      </c>
      <c r="T107" s="10">
        <f>36-S107</f>
        <v>12.867915799213506</v>
      </c>
      <c r="U107" s="10">
        <v>35.476127624511719</v>
      </c>
      <c r="V107" s="10">
        <v>34.733695983886719</v>
      </c>
      <c r="W107" s="10">
        <v>36.633277893066406</v>
      </c>
      <c r="X107" s="34">
        <f>1/U107</f>
        <v>2.8187969402530405E-2</v>
      </c>
      <c r="Y107" s="34">
        <f>1/V107</f>
        <v>2.8790486346857797E-2</v>
      </c>
      <c r="Z107" s="36">
        <f>1/W107</f>
        <v>2.7297584532812728E-2</v>
      </c>
      <c r="AA107" s="36">
        <f>AVERAGE(X107:Z107)</f>
        <v>2.8092013427400309E-2</v>
      </c>
      <c r="AB107" s="2">
        <v>0</v>
      </c>
      <c r="AC107" s="2">
        <v>0</v>
      </c>
    </row>
    <row r="108" spans="1:29" x14ac:dyDescent="0.2">
      <c r="A108" s="2" t="s">
        <v>111</v>
      </c>
      <c r="B108" s="2">
        <v>107</v>
      </c>
      <c r="C108" s="2" t="s">
        <v>350</v>
      </c>
      <c r="D108" s="2" t="s">
        <v>365</v>
      </c>
      <c r="E108" s="2" t="s">
        <v>361</v>
      </c>
      <c r="F108" s="2" t="s">
        <v>304</v>
      </c>
      <c r="G108" s="2" t="s">
        <v>350</v>
      </c>
      <c r="H108" s="2" t="s">
        <v>304</v>
      </c>
      <c r="I108" s="2" t="str">
        <f>IF(F108=H108,"YES","NO")</f>
        <v>YES</v>
      </c>
      <c r="J108" s="2" t="s">
        <v>318</v>
      </c>
      <c r="K108" s="2" t="s">
        <v>365</v>
      </c>
      <c r="L108" s="2" t="s">
        <v>361</v>
      </c>
      <c r="M108" s="2" t="str">
        <f>IF(E108=L108,"YES","NO")</f>
        <v>YES</v>
      </c>
      <c r="N108" s="2" t="str">
        <f>IF(D108=K108,"YES","NO")</f>
        <v>YES</v>
      </c>
      <c r="O108" s="2" t="str">
        <f>IF(C108=G108,"YES","NO")</f>
        <v>YES</v>
      </c>
      <c r="P108" s="2">
        <v>129.9</v>
      </c>
      <c r="Q108" s="2">
        <v>1.85</v>
      </c>
      <c r="R108" s="2">
        <v>1.87</v>
      </c>
      <c r="S108" s="10">
        <f>1000/P108</f>
        <v>7.6982294072363349</v>
      </c>
      <c r="T108" s="10">
        <f>36-S108</f>
        <v>28.301770592763667</v>
      </c>
      <c r="U108" s="10">
        <v>32.850883483886719</v>
      </c>
      <c r="V108" s="10">
        <v>33.413429260253906</v>
      </c>
      <c r="W108" s="10">
        <v>32.286323547363281</v>
      </c>
      <c r="X108" s="34">
        <f>1/U108</f>
        <v>3.0440581620597745E-2</v>
      </c>
      <c r="Y108" s="34">
        <f>1/V108</f>
        <v>2.9928086465208302E-2</v>
      </c>
      <c r="Z108" s="36">
        <f>1/W108</f>
        <v>3.0972866840444792E-2</v>
      </c>
      <c r="AA108" s="36">
        <f>AVERAGE(X108:Z108)</f>
        <v>3.0447178308750277E-2</v>
      </c>
      <c r="AB108" s="2">
        <v>0</v>
      </c>
      <c r="AC108" s="2">
        <v>0</v>
      </c>
    </row>
    <row r="109" spans="1:29" x14ac:dyDescent="0.2">
      <c r="A109" s="2" t="s">
        <v>112</v>
      </c>
      <c r="B109" s="2">
        <v>108</v>
      </c>
      <c r="C109" s="2" t="s">
        <v>357</v>
      </c>
      <c r="D109" s="2" t="s">
        <v>365</v>
      </c>
      <c r="E109" s="2" t="s">
        <v>361</v>
      </c>
      <c r="F109" s="2" t="s">
        <v>305</v>
      </c>
      <c r="G109" s="2" t="s">
        <v>357</v>
      </c>
      <c r="H109" s="2" t="s">
        <v>305</v>
      </c>
      <c r="I109" s="2" t="str">
        <f>IF(F109=H109,"YES","NO")</f>
        <v>YES</v>
      </c>
      <c r="J109" s="2" t="s">
        <v>318</v>
      </c>
      <c r="K109" s="2" t="s">
        <v>365</v>
      </c>
      <c r="L109" s="2" t="s">
        <v>361</v>
      </c>
      <c r="M109" s="2" t="str">
        <f>IF(E109=L109,"YES","NO")</f>
        <v>YES</v>
      </c>
      <c r="N109" s="2" t="str">
        <f>IF(D109=K109,"YES","NO")</f>
        <v>YES</v>
      </c>
      <c r="O109" s="2" t="str">
        <f>IF(C109=G109,"YES","NO")</f>
        <v>YES</v>
      </c>
      <c r="P109" s="2">
        <v>96.57</v>
      </c>
      <c r="Q109" s="2">
        <v>1.89</v>
      </c>
      <c r="R109" s="2">
        <v>1.9</v>
      </c>
      <c r="S109" s="10">
        <f>1000/P109</f>
        <v>10.355182768975872</v>
      </c>
      <c r="T109" s="10">
        <f>36-S109</f>
        <v>25.644817231024128</v>
      </c>
      <c r="U109" s="10" t="s">
        <v>162</v>
      </c>
      <c r="V109" s="10" t="s">
        <v>162</v>
      </c>
      <c r="W109" s="10" t="s">
        <v>162</v>
      </c>
      <c r="X109" s="39">
        <v>0</v>
      </c>
      <c r="Y109" s="39">
        <v>0</v>
      </c>
      <c r="Z109" s="39">
        <v>0</v>
      </c>
      <c r="AA109" s="39">
        <v>0</v>
      </c>
      <c r="AB109" s="2">
        <v>0</v>
      </c>
      <c r="AC109" s="2">
        <v>0</v>
      </c>
    </row>
    <row r="110" spans="1:29" x14ac:dyDescent="0.2">
      <c r="A110" s="2" t="s">
        <v>113</v>
      </c>
      <c r="B110" s="2">
        <v>109</v>
      </c>
      <c r="C110" s="2" t="s">
        <v>357</v>
      </c>
      <c r="D110" s="2" t="s">
        <v>366</v>
      </c>
      <c r="E110" s="2" t="s">
        <v>362</v>
      </c>
      <c r="F110" s="2" t="s">
        <v>306</v>
      </c>
      <c r="G110" s="2" t="s">
        <v>357</v>
      </c>
      <c r="H110" s="2" t="s">
        <v>306</v>
      </c>
      <c r="I110" s="2" t="str">
        <f>IF(F110=H110,"YES","NO")</f>
        <v>YES</v>
      </c>
      <c r="J110" s="2" t="s">
        <v>318</v>
      </c>
      <c r="K110" s="2" t="s">
        <v>366</v>
      </c>
      <c r="L110" s="2" t="s">
        <v>362</v>
      </c>
      <c r="M110" s="2" t="str">
        <f>IF(E110=L110,"YES","NO")</f>
        <v>YES</v>
      </c>
      <c r="N110" s="2" t="str">
        <f>IF(D110=K110,"YES","NO")</f>
        <v>YES</v>
      </c>
      <c r="O110" s="2" t="str">
        <f>IF(C110=G110,"YES","NO")</f>
        <v>YES</v>
      </c>
      <c r="P110" s="2">
        <v>92.04</v>
      </c>
      <c r="Q110" s="2">
        <v>1.85</v>
      </c>
      <c r="R110" s="2">
        <v>1.78</v>
      </c>
      <c r="S110" s="10">
        <f>1000/P110</f>
        <v>10.864841373315949</v>
      </c>
      <c r="T110" s="10">
        <f>36-S110</f>
        <v>25.135158626684053</v>
      </c>
      <c r="U110" s="10" t="s">
        <v>162</v>
      </c>
      <c r="V110" s="10" t="s">
        <v>162</v>
      </c>
      <c r="W110" s="10" t="s">
        <v>162</v>
      </c>
      <c r="X110" s="39">
        <v>0</v>
      </c>
      <c r="Y110" s="39">
        <v>0</v>
      </c>
      <c r="Z110" s="39">
        <v>0</v>
      </c>
      <c r="AA110" s="39">
        <v>0</v>
      </c>
      <c r="AB110" s="2">
        <v>0</v>
      </c>
      <c r="AC110" s="2">
        <v>0</v>
      </c>
    </row>
    <row r="111" spans="1:29" x14ac:dyDescent="0.2">
      <c r="A111" s="2" t="s">
        <v>114</v>
      </c>
      <c r="B111" s="2">
        <v>110</v>
      </c>
      <c r="C111" s="2" t="s">
        <v>357</v>
      </c>
      <c r="D111" s="2" t="s">
        <v>367</v>
      </c>
      <c r="E111" s="2" t="s">
        <v>363</v>
      </c>
      <c r="F111" s="2" t="s">
        <v>307</v>
      </c>
      <c r="G111" s="2" t="s">
        <v>357</v>
      </c>
      <c r="H111" s="2" t="s">
        <v>307</v>
      </c>
      <c r="I111" s="2" t="str">
        <f>IF(F111=H111,"YES","NO")</f>
        <v>YES</v>
      </c>
      <c r="J111" s="2" t="s">
        <v>318</v>
      </c>
      <c r="K111" s="2" t="s">
        <v>367</v>
      </c>
      <c r="L111" s="2" t="s">
        <v>363</v>
      </c>
      <c r="M111" s="2" t="str">
        <f>IF(E111=L111,"YES","NO")</f>
        <v>YES</v>
      </c>
      <c r="N111" s="2" t="str">
        <f>IF(D111=K111,"YES","NO")</f>
        <v>YES</v>
      </c>
      <c r="O111" s="2" t="str">
        <f>IF(C111=G111,"YES","NO")</f>
        <v>YES</v>
      </c>
      <c r="P111" s="2">
        <v>151</v>
      </c>
      <c r="Q111" s="2">
        <v>1.9</v>
      </c>
      <c r="R111" s="2">
        <v>1.98</v>
      </c>
      <c r="S111" s="10">
        <f>1000/P111</f>
        <v>6.6225165562913908</v>
      </c>
      <c r="T111" s="10">
        <f>36-S111</f>
        <v>29.377483443708609</v>
      </c>
      <c r="U111" s="10" t="s">
        <v>162</v>
      </c>
      <c r="V111" s="10" t="s">
        <v>162</v>
      </c>
      <c r="W111" s="10" t="s">
        <v>162</v>
      </c>
      <c r="X111" s="39">
        <v>0</v>
      </c>
      <c r="Y111" s="39">
        <v>0</v>
      </c>
      <c r="Z111" s="39">
        <v>0</v>
      </c>
      <c r="AA111" s="39">
        <v>0</v>
      </c>
      <c r="AB111" s="2">
        <v>0</v>
      </c>
      <c r="AC111" s="2">
        <v>0</v>
      </c>
    </row>
    <row r="112" spans="1:29" x14ac:dyDescent="0.2">
      <c r="A112" s="2" t="s">
        <v>115</v>
      </c>
      <c r="B112" s="2">
        <v>111</v>
      </c>
      <c r="C112" s="2" t="s">
        <v>358</v>
      </c>
      <c r="D112" s="2" t="s">
        <v>367</v>
      </c>
      <c r="E112" s="2" t="s">
        <v>363</v>
      </c>
      <c r="F112" s="2" t="s">
        <v>308</v>
      </c>
      <c r="G112" s="2" t="s">
        <v>358</v>
      </c>
      <c r="H112" s="2" t="s">
        <v>308</v>
      </c>
      <c r="I112" s="2" t="str">
        <f>IF(F112=H112,"YES","NO")</f>
        <v>YES</v>
      </c>
      <c r="J112" s="2" t="s">
        <v>318</v>
      </c>
      <c r="K112" s="2" t="s">
        <v>367</v>
      </c>
      <c r="L112" s="2" t="s">
        <v>363</v>
      </c>
      <c r="M112" s="2" t="str">
        <f>IF(E112=L112,"YES","NO")</f>
        <v>YES</v>
      </c>
      <c r="N112" s="2" t="str">
        <f>IF(D112=K112,"YES","NO")</f>
        <v>YES</v>
      </c>
      <c r="O112" s="2" t="str">
        <f>IF(C112=G112,"YES","NO")</f>
        <v>YES</v>
      </c>
      <c r="P112" s="2">
        <v>281.7</v>
      </c>
      <c r="Q112" s="2">
        <v>1.9</v>
      </c>
      <c r="R112" s="2">
        <v>2.06</v>
      </c>
      <c r="S112" s="10">
        <f>1000/P112</f>
        <v>3.5498757543485979</v>
      </c>
      <c r="T112" s="10">
        <f>36-S112</f>
        <v>32.450124245651402</v>
      </c>
      <c r="U112" s="10">
        <v>34.176666259765625</v>
      </c>
      <c r="V112" s="10">
        <v>34.319805145263672</v>
      </c>
      <c r="W112" s="10">
        <v>34.509780883789062</v>
      </c>
      <c r="X112" s="34">
        <f>1/U112</f>
        <v>2.9259729208206797E-2</v>
      </c>
      <c r="Y112" s="34">
        <f>1/V112</f>
        <v>2.9137694569282998E-2</v>
      </c>
      <c r="Z112" s="36">
        <f>1/W112</f>
        <v>2.8977292071702174E-2</v>
      </c>
      <c r="AA112" s="36">
        <f>AVERAGE(X112:Z112)</f>
        <v>2.9124905283063992E-2</v>
      </c>
      <c r="AB112" s="2">
        <v>122</v>
      </c>
      <c r="AC112" s="2">
        <v>0.99246728252954164</v>
      </c>
    </row>
    <row r="113" spans="1:29" x14ac:dyDescent="0.2">
      <c r="A113" s="2" t="s">
        <v>116</v>
      </c>
      <c r="B113" s="2">
        <v>112</v>
      </c>
      <c r="C113" s="2" t="s">
        <v>358</v>
      </c>
      <c r="D113" s="2" t="s">
        <v>366</v>
      </c>
      <c r="E113" s="2" t="s">
        <v>362</v>
      </c>
      <c r="F113" s="2" t="s">
        <v>309</v>
      </c>
      <c r="G113" s="2" t="s">
        <v>358</v>
      </c>
      <c r="H113" s="2" t="s">
        <v>309</v>
      </c>
      <c r="I113" s="2" t="str">
        <f>IF(F113=H113,"YES","NO")</f>
        <v>YES</v>
      </c>
      <c r="J113" s="2" t="s">
        <v>318</v>
      </c>
      <c r="K113" s="2" t="s">
        <v>366</v>
      </c>
      <c r="L113" s="2" t="s">
        <v>362</v>
      </c>
      <c r="M113" s="2" t="str">
        <f>IF(E113=L113,"YES","NO")</f>
        <v>YES</v>
      </c>
      <c r="N113" s="2" t="str">
        <f>IF(D113=K113,"YES","NO")</f>
        <v>YES</v>
      </c>
      <c r="O113" s="2" t="str">
        <f>IF(C113=G113,"YES","NO")</f>
        <v>YES</v>
      </c>
      <c r="P113" s="2">
        <v>96.57</v>
      </c>
      <c r="Q113" s="2">
        <v>1.88</v>
      </c>
      <c r="R113" s="2">
        <v>1.73</v>
      </c>
      <c r="S113" s="10">
        <f>1000/P113</f>
        <v>10.355182768975872</v>
      </c>
      <c r="T113" s="10">
        <f>36-S113</f>
        <v>25.644817231024128</v>
      </c>
      <c r="U113" s="17" t="s">
        <v>162</v>
      </c>
      <c r="V113" s="17">
        <v>34.885204315185547</v>
      </c>
      <c r="W113" s="17" t="s">
        <v>162</v>
      </c>
      <c r="X113" s="31" t="s">
        <v>192</v>
      </c>
      <c r="Y113" s="31">
        <f>1/V113</f>
        <v>2.8665447705711142E-2</v>
      </c>
      <c r="Z113" s="31" t="s">
        <v>192</v>
      </c>
      <c r="AA113" s="33">
        <f>AVERAGE(X113:Z113)</f>
        <v>2.8665447705711142E-2</v>
      </c>
      <c r="AB113" s="2">
        <v>0</v>
      </c>
      <c r="AC113" s="2">
        <v>0</v>
      </c>
    </row>
    <row r="114" spans="1:29" x14ac:dyDescent="0.2">
      <c r="A114" s="2" t="s">
        <v>117</v>
      </c>
      <c r="B114" s="2">
        <v>113</v>
      </c>
      <c r="C114" s="2" t="s">
        <v>358</v>
      </c>
      <c r="D114" s="2" t="s">
        <v>365</v>
      </c>
      <c r="E114" s="2" t="s">
        <v>361</v>
      </c>
      <c r="F114" s="2" t="s">
        <v>310</v>
      </c>
      <c r="G114" s="2" t="s">
        <v>358</v>
      </c>
      <c r="H114" s="2" t="s">
        <v>310</v>
      </c>
      <c r="I114" s="2" t="str">
        <f>IF(F114=H114,"YES","NO")</f>
        <v>YES</v>
      </c>
      <c r="J114" s="2" t="s">
        <v>318</v>
      </c>
      <c r="K114" s="2" t="s">
        <v>365</v>
      </c>
      <c r="L114" s="2" t="s">
        <v>361</v>
      </c>
      <c r="M114" s="2" t="str">
        <f>IF(E114=L114,"YES","NO")</f>
        <v>YES</v>
      </c>
      <c r="N114" s="2" t="str">
        <f>IF(D114=K114,"YES","NO")</f>
        <v>YES</v>
      </c>
      <c r="O114" s="2" t="str">
        <f>IF(C114=G114,"YES","NO")</f>
        <v>YES</v>
      </c>
      <c r="P114" s="2">
        <v>144.1</v>
      </c>
      <c r="Q114" s="2">
        <v>1.89</v>
      </c>
      <c r="R114" s="2">
        <v>1.91</v>
      </c>
      <c r="S114" s="10">
        <f>1000/P114</f>
        <v>6.9396252602359478</v>
      </c>
      <c r="T114" s="10">
        <f>36-S114</f>
        <v>29.06037473976405</v>
      </c>
      <c r="U114" s="17">
        <v>35.469707489013672</v>
      </c>
      <c r="V114" s="17">
        <v>34.003921508789062</v>
      </c>
      <c r="W114" s="17" t="s">
        <v>162</v>
      </c>
      <c r="X114" s="31">
        <f>1/U114</f>
        <v>2.8193071519119189E-2</v>
      </c>
      <c r="Y114" s="31">
        <f>1/V114</f>
        <v>2.9408372788459942E-2</v>
      </c>
      <c r="Z114" s="31" t="s">
        <v>192</v>
      </c>
      <c r="AA114" s="33">
        <f>AVERAGE(X114:Z114)</f>
        <v>2.8800722153789565E-2</v>
      </c>
      <c r="AB114" s="2">
        <v>0</v>
      </c>
      <c r="AC114" s="2">
        <v>0</v>
      </c>
    </row>
    <row r="115" spans="1:29" x14ac:dyDescent="0.2">
      <c r="A115" s="2" t="s">
        <v>118</v>
      </c>
      <c r="B115" s="2">
        <v>114</v>
      </c>
      <c r="C115" s="2" t="s">
        <v>359</v>
      </c>
      <c r="D115" s="2" t="s">
        <v>367</v>
      </c>
      <c r="E115" s="2" t="s">
        <v>363</v>
      </c>
      <c r="F115" s="2" t="s">
        <v>311</v>
      </c>
      <c r="G115" s="2" t="s">
        <v>359</v>
      </c>
      <c r="H115" s="2" t="s">
        <v>311</v>
      </c>
      <c r="I115" s="2" t="str">
        <f>IF(F115=H115,"YES","NO")</f>
        <v>YES</v>
      </c>
      <c r="J115" s="2" t="s">
        <v>318</v>
      </c>
      <c r="K115" s="2" t="s">
        <v>367</v>
      </c>
      <c r="L115" s="2" t="s">
        <v>363</v>
      </c>
      <c r="M115" s="2" t="str">
        <f>IF(E115=L115,"YES","NO")</f>
        <v>YES</v>
      </c>
      <c r="N115" s="2" t="str">
        <f>IF(D115=K115,"YES","NO")</f>
        <v>YES</v>
      </c>
      <c r="O115" s="2" t="str">
        <f>IF(C115=G115,"YES","NO")</f>
        <v>YES</v>
      </c>
      <c r="P115" s="2">
        <v>132.6</v>
      </c>
      <c r="Q115" s="2">
        <v>1.88</v>
      </c>
      <c r="R115" s="2">
        <v>2.14</v>
      </c>
      <c r="S115" s="10">
        <f>1000/P115</f>
        <v>7.5414781297134246</v>
      </c>
      <c r="T115" s="10">
        <f>36-S115</f>
        <v>28.458521870286575</v>
      </c>
      <c r="U115" s="10" t="s">
        <v>162</v>
      </c>
      <c r="V115" s="10" t="s">
        <v>162</v>
      </c>
      <c r="W115" s="10" t="s">
        <v>162</v>
      </c>
      <c r="X115" s="39">
        <v>0</v>
      </c>
      <c r="Y115" s="39">
        <v>0</v>
      </c>
      <c r="Z115" s="39">
        <v>0</v>
      </c>
      <c r="AA115" s="39">
        <v>0</v>
      </c>
      <c r="AB115" s="2">
        <v>0</v>
      </c>
      <c r="AC115" s="2">
        <v>0</v>
      </c>
    </row>
    <row r="116" spans="1:29" x14ac:dyDescent="0.2">
      <c r="A116" s="2" t="s">
        <v>119</v>
      </c>
      <c r="B116" s="2">
        <v>115</v>
      </c>
      <c r="C116" s="2" t="s">
        <v>359</v>
      </c>
      <c r="D116" s="2" t="s">
        <v>366</v>
      </c>
      <c r="E116" s="2" t="s">
        <v>362</v>
      </c>
      <c r="F116" s="2" t="s">
        <v>312</v>
      </c>
      <c r="G116" s="2" t="s">
        <v>359</v>
      </c>
      <c r="H116" s="2" t="s">
        <v>312</v>
      </c>
      <c r="I116" s="2" t="str">
        <f>IF(F116=H116,"YES","NO")</f>
        <v>YES</v>
      </c>
      <c r="J116" s="2" t="s">
        <v>318</v>
      </c>
      <c r="K116" s="2" t="s">
        <v>366</v>
      </c>
      <c r="L116" s="2" t="s">
        <v>362</v>
      </c>
      <c r="M116" s="2" t="str">
        <f>IF(E116=L116,"YES","NO")</f>
        <v>YES</v>
      </c>
      <c r="N116" s="2" t="str">
        <f>IF(D116=K116,"YES","NO")</f>
        <v>YES</v>
      </c>
      <c r="O116" s="2" t="str">
        <f>IF(C116=G116,"YES","NO")</f>
        <v>YES</v>
      </c>
      <c r="P116" s="2">
        <v>112</v>
      </c>
      <c r="Q116" s="2">
        <v>1.82</v>
      </c>
      <c r="R116" s="2">
        <v>1.78</v>
      </c>
      <c r="S116" s="10">
        <f>1000/P116</f>
        <v>8.9285714285714288</v>
      </c>
      <c r="T116" s="10">
        <f>36-S116</f>
        <v>27.071428571428569</v>
      </c>
      <c r="U116" s="17">
        <v>35.386146545410156</v>
      </c>
      <c r="V116" s="17" t="s">
        <v>162</v>
      </c>
      <c r="W116" s="17">
        <v>34.589927673339844</v>
      </c>
      <c r="X116" s="31">
        <f>1/U116</f>
        <v>2.8259646715607337E-2</v>
      </c>
      <c r="Y116" s="31" t="s">
        <v>192</v>
      </c>
      <c r="Z116" s="33">
        <f>1/W116</f>
        <v>2.8910150071540887E-2</v>
      </c>
      <c r="AA116" s="33">
        <f>AVERAGE(X116:Z116)</f>
        <v>2.8584898393574112E-2</v>
      </c>
      <c r="AB116" s="2">
        <v>0</v>
      </c>
      <c r="AC116" s="2">
        <v>0</v>
      </c>
    </row>
    <row r="117" spans="1:29" x14ac:dyDescent="0.2">
      <c r="A117" s="2" t="s">
        <v>120</v>
      </c>
      <c r="B117" s="2">
        <v>116</v>
      </c>
      <c r="C117" s="2" t="s">
        <v>359</v>
      </c>
      <c r="D117" s="2" t="s">
        <v>365</v>
      </c>
      <c r="E117" s="2" t="s">
        <v>361</v>
      </c>
      <c r="F117" s="2" t="s">
        <v>313</v>
      </c>
      <c r="G117" s="2" t="s">
        <v>359</v>
      </c>
      <c r="H117" s="2" t="s">
        <v>313</v>
      </c>
      <c r="I117" s="2" t="str">
        <f>IF(F117=H117,"YES","NO")</f>
        <v>YES</v>
      </c>
      <c r="J117" s="2" t="s">
        <v>318</v>
      </c>
      <c r="K117" s="2" t="s">
        <v>365</v>
      </c>
      <c r="L117" s="2" t="s">
        <v>361</v>
      </c>
      <c r="M117" s="2" t="str">
        <f>IF(E117=L117,"YES","NO")</f>
        <v>YES</v>
      </c>
      <c r="N117" s="2" t="str">
        <f>IF(D117=K117,"YES","NO")</f>
        <v>YES</v>
      </c>
      <c r="O117" s="2" t="str">
        <f>IF(C117=G117,"YES","NO")</f>
        <v>YES</v>
      </c>
      <c r="P117" s="2">
        <v>66.81</v>
      </c>
      <c r="Q117" s="2">
        <v>1.89</v>
      </c>
      <c r="R117" s="2">
        <v>1.86</v>
      </c>
      <c r="S117" s="10">
        <f>1000/P117</f>
        <v>14.967819188744199</v>
      </c>
      <c r="T117" s="10">
        <f>36-S117</f>
        <v>21.032180811255799</v>
      </c>
      <c r="U117" s="17">
        <v>36.387577056884766</v>
      </c>
      <c r="V117" s="17" t="s">
        <v>162</v>
      </c>
      <c r="W117" s="17" t="s">
        <v>162</v>
      </c>
      <c r="X117" s="31">
        <f>1/U117</f>
        <v>2.7481906762758569E-2</v>
      </c>
      <c r="Y117" s="31" t="s">
        <v>192</v>
      </c>
      <c r="Z117" s="31" t="s">
        <v>192</v>
      </c>
      <c r="AA117" s="33">
        <f>AVERAGE(X117:Z117)</f>
        <v>2.7481906762758569E-2</v>
      </c>
      <c r="AB117" s="2">
        <v>20</v>
      </c>
      <c r="AC117" s="2">
        <v>0.15956756489348431</v>
      </c>
    </row>
    <row r="118" spans="1:29" x14ac:dyDescent="0.2">
      <c r="A118" s="2" t="s">
        <v>121</v>
      </c>
      <c r="B118" s="2">
        <v>117</v>
      </c>
      <c r="C118" s="2" t="s">
        <v>344</v>
      </c>
      <c r="D118" s="2" t="s">
        <v>366</v>
      </c>
      <c r="E118" s="2" t="s">
        <v>362</v>
      </c>
      <c r="F118" s="2" t="s">
        <v>314</v>
      </c>
      <c r="G118" s="2" t="s">
        <v>344</v>
      </c>
      <c r="H118" s="2" t="s">
        <v>314</v>
      </c>
      <c r="I118" s="2" t="str">
        <f>IF(F118=H118,"YES","NO")</f>
        <v>YES</v>
      </c>
      <c r="J118" s="2" t="s">
        <v>318</v>
      </c>
      <c r="K118" s="2" t="s">
        <v>366</v>
      </c>
      <c r="L118" s="2" t="s">
        <v>362</v>
      </c>
      <c r="M118" s="2" t="str">
        <f>IF(E118=L118,"YES","NO")</f>
        <v>YES</v>
      </c>
      <c r="N118" s="2" t="str">
        <f>IF(D118=K118,"YES","NO")</f>
        <v>YES</v>
      </c>
      <c r="O118" s="2" t="str">
        <f>IF(C118=G118,"YES","NO")</f>
        <v>YES</v>
      </c>
      <c r="P118" s="2">
        <v>87.65</v>
      </c>
      <c r="Q118" s="2">
        <v>1.83</v>
      </c>
      <c r="R118" s="2">
        <v>1.67</v>
      </c>
      <c r="S118" s="10">
        <f>1000/P118</f>
        <v>11.409013120365088</v>
      </c>
      <c r="T118" s="10">
        <f>36-S118</f>
        <v>24.590986879634912</v>
      </c>
      <c r="U118" s="17" t="s">
        <v>162</v>
      </c>
      <c r="V118" s="17">
        <v>33.962104797363281</v>
      </c>
      <c r="W118" s="17">
        <v>34.657997131347656</v>
      </c>
      <c r="X118" s="31" t="s">
        <v>192</v>
      </c>
      <c r="Y118" s="31">
        <f>1/V118</f>
        <v>2.9444582600711987E-2</v>
      </c>
      <c r="Z118" s="33">
        <f>1/W118</f>
        <v>2.8853369576152296E-2</v>
      </c>
      <c r="AA118" s="33">
        <f>AVERAGE(X118:Z118)</f>
        <v>2.9148976088432144E-2</v>
      </c>
      <c r="AB118" s="2">
        <v>0</v>
      </c>
      <c r="AC118" s="2">
        <v>0</v>
      </c>
    </row>
    <row r="119" spans="1:29" x14ac:dyDescent="0.2">
      <c r="A119" s="2" t="s">
        <v>122</v>
      </c>
      <c r="B119" s="2">
        <v>118</v>
      </c>
      <c r="C119" s="2" t="s">
        <v>360</v>
      </c>
      <c r="D119" s="2" t="s">
        <v>365</v>
      </c>
      <c r="E119" s="2" t="s">
        <v>361</v>
      </c>
      <c r="F119" s="2" t="s">
        <v>315</v>
      </c>
      <c r="G119" s="2" t="s">
        <v>360</v>
      </c>
      <c r="H119" s="2" t="s">
        <v>315</v>
      </c>
      <c r="I119" s="2" t="str">
        <f>IF(F119=H119,"YES","NO")</f>
        <v>YES</v>
      </c>
      <c r="J119" s="2" t="s">
        <v>318</v>
      </c>
      <c r="K119" s="2" t="s">
        <v>365</v>
      </c>
      <c r="L119" s="2" t="s">
        <v>361</v>
      </c>
      <c r="M119" s="2" t="str">
        <f>IF(E119=L119,"YES","NO")</f>
        <v>YES</v>
      </c>
      <c r="N119" s="2" t="str">
        <f>IF(D119=K119,"YES","NO")</f>
        <v>YES</v>
      </c>
      <c r="O119" s="2" t="str">
        <f>IF(C119=G119,"YES","NO")</f>
        <v>YES</v>
      </c>
      <c r="P119" s="2">
        <v>129.5</v>
      </c>
      <c r="Q119" s="2">
        <v>1.89</v>
      </c>
      <c r="R119" s="2">
        <v>1.79</v>
      </c>
      <c r="S119" s="10">
        <f>1000/P119</f>
        <v>7.7220077220077217</v>
      </c>
      <c r="T119" s="10">
        <f>36-S119</f>
        <v>28.277992277992279</v>
      </c>
      <c r="U119" s="10">
        <v>34.522163391113281</v>
      </c>
      <c r="V119" s="10">
        <v>35.663955688476562</v>
      </c>
      <c r="W119" s="10">
        <v>34.1846923828125</v>
      </c>
      <c r="X119" s="34">
        <f>1/U119</f>
        <v>2.8966898414524645E-2</v>
      </c>
      <c r="Y119" s="34">
        <f>1/V119</f>
        <v>2.8039514425572024E-2</v>
      </c>
      <c r="Z119" s="36">
        <f>1/W119</f>
        <v>2.9252859402730313E-2</v>
      </c>
      <c r="AA119" s="36">
        <f>AVERAGE(X119:Z119)</f>
        <v>2.8753090747608994E-2</v>
      </c>
      <c r="AB119" s="2">
        <v>0</v>
      </c>
      <c r="AC119" s="2">
        <v>0</v>
      </c>
    </row>
    <row r="120" spans="1:29" x14ac:dyDescent="0.2">
      <c r="A120" s="2" t="s">
        <v>123</v>
      </c>
      <c r="B120" s="2">
        <v>119</v>
      </c>
      <c r="C120" s="2" t="s">
        <v>360</v>
      </c>
      <c r="D120" s="2" t="s">
        <v>366</v>
      </c>
      <c r="E120" s="2" t="s">
        <v>362</v>
      </c>
      <c r="F120" s="2" t="s">
        <v>316</v>
      </c>
      <c r="G120" s="2" t="s">
        <v>360</v>
      </c>
      <c r="H120" s="2" t="s">
        <v>316</v>
      </c>
      <c r="I120" s="2" t="str">
        <f>IF(F120=H120,"YES","NO")</f>
        <v>YES</v>
      </c>
      <c r="J120" s="2" t="s">
        <v>318</v>
      </c>
      <c r="K120" s="2" t="s">
        <v>366</v>
      </c>
      <c r="L120" s="2" t="s">
        <v>362</v>
      </c>
      <c r="M120" s="2" t="str">
        <f>IF(E120=L120,"YES","NO")</f>
        <v>YES</v>
      </c>
      <c r="N120" s="2" t="str">
        <f>IF(D120=K120,"YES","NO")</f>
        <v>YES</v>
      </c>
      <c r="O120" s="2" t="str">
        <f>IF(C120=G120,"YES","NO")</f>
        <v>YES</v>
      </c>
      <c r="P120" s="2">
        <v>60.55</v>
      </c>
      <c r="Q120" s="2">
        <v>1.88</v>
      </c>
      <c r="R120" s="2">
        <v>1.65</v>
      </c>
      <c r="S120" s="10">
        <f>1000/P120</f>
        <v>16.515276630883569</v>
      </c>
      <c r="T120" s="10">
        <f>36-S120</f>
        <v>19.484723369116431</v>
      </c>
      <c r="U120" s="17">
        <v>34.702705383300781</v>
      </c>
      <c r="V120" s="17" t="s">
        <v>162</v>
      </c>
      <c r="W120" s="17" t="s">
        <v>162</v>
      </c>
      <c r="X120" s="31">
        <f>1/U120</f>
        <v>2.8816197151050015E-2</v>
      </c>
      <c r="Y120" s="31" t="s">
        <v>192</v>
      </c>
      <c r="Z120" s="31" t="s">
        <v>192</v>
      </c>
      <c r="AA120" s="33">
        <f>AVERAGE(X120:Z120)</f>
        <v>2.8816197151050015E-2</v>
      </c>
      <c r="AB120" s="2">
        <v>41</v>
      </c>
      <c r="AC120" s="2">
        <v>0.29533981291667682</v>
      </c>
    </row>
    <row r="121" spans="1:29" x14ac:dyDescent="0.2">
      <c r="A121" s="2" t="s">
        <v>124</v>
      </c>
      <c r="B121" s="2">
        <v>120</v>
      </c>
      <c r="C121" s="2" t="s">
        <v>360</v>
      </c>
      <c r="D121" s="2" t="s">
        <v>367</v>
      </c>
      <c r="E121" s="2" t="s">
        <v>363</v>
      </c>
      <c r="F121" s="2" t="s">
        <v>317</v>
      </c>
      <c r="G121" s="2" t="s">
        <v>360</v>
      </c>
      <c r="H121" s="2" t="s">
        <v>317</v>
      </c>
      <c r="I121" s="2" t="str">
        <f>IF(F121=H121,"YES","NO")</f>
        <v>YES</v>
      </c>
      <c r="J121" s="2" t="s">
        <v>318</v>
      </c>
      <c r="K121" s="2" t="s">
        <v>367</v>
      </c>
      <c r="L121" s="2" t="s">
        <v>363</v>
      </c>
      <c r="M121" s="2" t="str">
        <f>IF(E121=L121,"YES","NO")</f>
        <v>YES</v>
      </c>
      <c r="N121" s="2" t="str">
        <f>IF(D121=K121,"YES","NO")</f>
        <v>YES</v>
      </c>
      <c r="O121" s="2" t="str">
        <f>IF(C121=G121,"YES","NO")</f>
        <v>YES</v>
      </c>
      <c r="P121" s="2">
        <v>89.39</v>
      </c>
      <c r="Q121" s="2">
        <v>1.92</v>
      </c>
      <c r="R121" s="2">
        <v>1.82</v>
      </c>
      <c r="S121" s="10">
        <f>1000/P121</f>
        <v>11.186933661483387</v>
      </c>
      <c r="T121" s="10">
        <f>36-S121</f>
        <v>24.813066338516613</v>
      </c>
      <c r="U121" s="17" t="s">
        <v>162</v>
      </c>
      <c r="V121" s="17">
        <v>33.924674987792969</v>
      </c>
      <c r="W121" s="17">
        <v>34.443214416503906</v>
      </c>
      <c r="X121" s="31" t="s">
        <v>192</v>
      </c>
      <c r="Y121" s="31">
        <f>1/V121</f>
        <v>2.947706942984207E-2</v>
      </c>
      <c r="Z121" s="33">
        <f>1/W121</f>
        <v>2.9033294857661054E-2</v>
      </c>
      <c r="AA121" s="33">
        <f>AVERAGE(X121:Z121)</f>
        <v>2.9255182143751564E-2</v>
      </c>
      <c r="AB121" s="2">
        <v>10</v>
      </c>
      <c r="AC121" s="2">
        <v>6.6163717644526832E-2</v>
      </c>
    </row>
  </sheetData>
  <sortState xmlns:xlrd2="http://schemas.microsoft.com/office/spreadsheetml/2017/richdata2" ref="A2:AK123">
    <sortCondition ref="B2:B123"/>
  </sortState>
  <pageMargins left="0.7" right="0.7" top="0.75" bottom="0.75" header="0.3" footer="0.3"/>
  <pageSetup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53FC-7E73-4085-9492-81A9235B2FC7}">
  <dimension ref="A1:V17"/>
  <sheetViews>
    <sheetView topLeftCell="I1" zoomScale="190" workbookViewId="0">
      <selection activeCell="C17" sqref="A17:XFD17"/>
    </sheetView>
  </sheetViews>
  <sheetFormatPr baseColWidth="10" defaultColWidth="9.1640625" defaultRowHeight="16" x14ac:dyDescent="0.2"/>
  <cols>
    <col min="1" max="1" width="10.33203125" style="1" bestFit="1" customWidth="1"/>
    <col min="2" max="2" width="10.6640625" style="1" bestFit="1" customWidth="1"/>
    <col min="3" max="4" width="10.5" style="1" bestFit="1" customWidth="1"/>
    <col min="5" max="5" width="9" style="1" bestFit="1" customWidth="1"/>
    <col min="6" max="6" width="10.1640625" style="1" bestFit="1" customWidth="1"/>
    <col min="7" max="7" width="27" style="1" bestFit="1" customWidth="1"/>
    <col min="8" max="8" width="9.1640625" style="1" bestFit="1" customWidth="1"/>
    <col min="9" max="9" width="4.33203125" style="1" bestFit="1" customWidth="1"/>
    <col min="10" max="10" width="7.1640625" style="1" bestFit="1" customWidth="1"/>
    <col min="11" max="11" width="21.83203125" style="1" bestFit="1" customWidth="1"/>
    <col min="12" max="12" width="11.1640625" style="1" customWidth="1"/>
    <col min="13" max="13" width="10.1640625" style="1" bestFit="1" customWidth="1"/>
    <col min="14" max="14" width="7.1640625" style="1" bestFit="1" customWidth="1"/>
    <col min="15" max="15" width="10.5" style="1" bestFit="1" customWidth="1"/>
    <col min="16" max="16" width="8.83203125" style="1" customWidth="1"/>
    <col min="17" max="17" width="7.6640625" style="1" customWidth="1"/>
    <col min="18" max="18" width="8.83203125" style="1" customWidth="1"/>
    <col min="19" max="16384" width="9.1640625" style="1"/>
  </cols>
  <sheetData>
    <row r="1" spans="1:22" s="9" customFormat="1" ht="85" x14ac:dyDescent="0.2">
      <c r="A1" s="8" t="s">
        <v>0</v>
      </c>
      <c r="B1" s="8" t="s">
        <v>2</v>
      </c>
      <c r="C1" s="8" t="s">
        <v>134</v>
      </c>
      <c r="D1" s="8" t="s">
        <v>136</v>
      </c>
      <c r="E1" s="8" t="s">
        <v>130</v>
      </c>
      <c r="F1" s="8" t="s">
        <v>4</v>
      </c>
      <c r="G1" s="8" t="s">
        <v>127</v>
      </c>
      <c r="H1" s="8" t="s">
        <v>167</v>
      </c>
      <c r="I1" s="8" t="s">
        <v>168</v>
      </c>
      <c r="J1" s="8" t="s">
        <v>169</v>
      </c>
      <c r="K1" s="8" t="s">
        <v>128</v>
      </c>
      <c r="L1" s="8" t="s">
        <v>139</v>
      </c>
      <c r="M1" s="8" t="s">
        <v>142</v>
      </c>
      <c r="N1" s="8" t="s">
        <v>141</v>
      </c>
      <c r="O1" s="8" t="s">
        <v>148</v>
      </c>
      <c r="P1" s="8" t="s">
        <v>147</v>
      </c>
      <c r="Q1" s="8" t="s">
        <v>145</v>
      </c>
      <c r="R1" s="8" t="s">
        <v>146</v>
      </c>
      <c r="S1" s="8" t="s">
        <v>163</v>
      </c>
      <c r="T1" s="23" t="s">
        <v>164</v>
      </c>
      <c r="U1" s="23" t="s">
        <v>165</v>
      </c>
      <c r="V1" s="23" t="s">
        <v>166</v>
      </c>
    </row>
    <row r="2" spans="1:22" x14ac:dyDescent="0.2">
      <c r="A2" s="2" t="s">
        <v>1</v>
      </c>
      <c r="B2" s="2" t="s">
        <v>3</v>
      </c>
      <c r="C2" s="2" t="s">
        <v>135</v>
      </c>
      <c r="D2" s="2" t="s">
        <v>140</v>
      </c>
      <c r="E2" s="2">
        <v>1</v>
      </c>
      <c r="F2" s="2">
        <v>121</v>
      </c>
      <c r="G2" s="29" t="s">
        <v>186</v>
      </c>
      <c r="H2" s="24" t="s">
        <v>175</v>
      </c>
      <c r="I2" s="2">
        <v>13</v>
      </c>
      <c r="J2" s="24" t="s">
        <v>172</v>
      </c>
      <c r="K2" s="2" t="s">
        <v>129</v>
      </c>
      <c r="L2" s="2">
        <v>45</v>
      </c>
      <c r="M2" s="3">
        <f t="shared" ref="M2:M17" si="0">L2*N2</f>
        <v>567</v>
      </c>
      <c r="N2" s="2">
        <v>12.6</v>
      </c>
      <c r="O2" s="10">
        <f>250/N2</f>
        <v>19.841269841269842</v>
      </c>
      <c r="P2" s="10">
        <f>22.5-O2</f>
        <v>2.6587301587301582</v>
      </c>
      <c r="Q2" s="10">
        <v>2.5</v>
      </c>
      <c r="R2" s="10">
        <v>25</v>
      </c>
      <c r="S2" s="19" t="s">
        <v>149</v>
      </c>
      <c r="T2" s="10">
        <v>35.821189880371094</v>
      </c>
      <c r="U2" s="10">
        <v>35.238388061523438</v>
      </c>
      <c r="V2" s="10"/>
    </row>
    <row r="3" spans="1:22" x14ac:dyDescent="0.2">
      <c r="A3" s="2" t="s">
        <v>1</v>
      </c>
      <c r="B3" s="2" t="s">
        <v>3</v>
      </c>
      <c r="C3" s="2" t="s">
        <v>135</v>
      </c>
      <c r="D3" s="2" t="s">
        <v>140</v>
      </c>
      <c r="E3" s="2">
        <v>2</v>
      </c>
      <c r="F3" s="2">
        <v>122</v>
      </c>
      <c r="G3" s="24" t="s">
        <v>177</v>
      </c>
      <c r="H3" s="24" t="s">
        <v>171</v>
      </c>
      <c r="I3" s="2">
        <v>79</v>
      </c>
      <c r="J3" s="24" t="s">
        <v>176</v>
      </c>
      <c r="K3" s="2" t="s">
        <v>129</v>
      </c>
      <c r="L3" s="2">
        <v>45</v>
      </c>
      <c r="M3" s="3">
        <f t="shared" si="0"/>
        <v>1890</v>
      </c>
      <c r="N3" s="2">
        <v>42</v>
      </c>
      <c r="O3" s="10">
        <f>250/N3</f>
        <v>5.9523809523809526</v>
      </c>
      <c r="P3" s="10">
        <f>22.5-O3</f>
        <v>16.547619047619047</v>
      </c>
      <c r="Q3" s="10">
        <v>2.5</v>
      </c>
      <c r="R3" s="10">
        <v>25</v>
      </c>
      <c r="S3" s="19" t="s">
        <v>159</v>
      </c>
      <c r="T3" s="10">
        <v>34.491947174072266</v>
      </c>
      <c r="U3" s="10">
        <v>34.565143585205078</v>
      </c>
      <c r="V3" s="22">
        <v>35.087810516357422</v>
      </c>
    </row>
    <row r="4" spans="1:22" x14ac:dyDescent="0.2">
      <c r="A4" s="2" t="s">
        <v>1</v>
      </c>
      <c r="B4" s="2" t="s">
        <v>3</v>
      </c>
      <c r="C4" s="2" t="s">
        <v>135</v>
      </c>
      <c r="D4" s="2" t="s">
        <v>140</v>
      </c>
      <c r="E4" s="2">
        <v>3</v>
      </c>
      <c r="F4" s="2">
        <v>123</v>
      </c>
      <c r="G4" s="2" t="s">
        <v>125</v>
      </c>
      <c r="H4" s="24" t="s">
        <v>171</v>
      </c>
      <c r="I4" s="2">
        <v>65</v>
      </c>
      <c r="J4" s="24" t="s">
        <v>176</v>
      </c>
      <c r="K4" s="2" t="s">
        <v>129</v>
      </c>
      <c r="L4" s="2">
        <v>45</v>
      </c>
      <c r="M4" s="3">
        <f t="shared" si="0"/>
        <v>503.99999999999994</v>
      </c>
      <c r="N4" s="2">
        <v>11.2</v>
      </c>
      <c r="O4" s="10">
        <f>250/N4</f>
        <v>22.321428571428573</v>
      </c>
      <c r="P4" s="10">
        <v>0</v>
      </c>
      <c r="Q4" s="10">
        <v>2.5</v>
      </c>
      <c r="R4" s="10">
        <v>25</v>
      </c>
      <c r="S4" s="19" t="s">
        <v>131</v>
      </c>
      <c r="T4" s="10" t="s">
        <v>162</v>
      </c>
      <c r="U4" s="10" t="s">
        <v>162</v>
      </c>
      <c r="V4" s="10"/>
    </row>
    <row r="5" spans="1:22" x14ac:dyDescent="0.2">
      <c r="A5" s="2" t="s">
        <v>1</v>
      </c>
      <c r="B5" s="2" t="s">
        <v>3</v>
      </c>
      <c r="C5" s="2" t="s">
        <v>135</v>
      </c>
      <c r="D5" s="2" t="s">
        <v>140</v>
      </c>
      <c r="E5" s="2">
        <v>4</v>
      </c>
      <c r="F5" s="2">
        <v>124</v>
      </c>
      <c r="G5" s="24" t="s">
        <v>170</v>
      </c>
      <c r="H5" s="24" t="s">
        <v>171</v>
      </c>
      <c r="I5" s="2">
        <v>66</v>
      </c>
      <c r="J5" s="24" t="s">
        <v>172</v>
      </c>
      <c r="K5" s="2" t="s">
        <v>129</v>
      </c>
      <c r="L5" s="2">
        <v>45</v>
      </c>
      <c r="M5" s="3">
        <f t="shared" si="0"/>
        <v>733.5</v>
      </c>
      <c r="N5" s="2">
        <v>16.3</v>
      </c>
      <c r="O5" s="10">
        <f>250/N5</f>
        <v>15.337423312883434</v>
      </c>
      <c r="P5" s="10">
        <f>22.5-O5</f>
        <v>7.1625766871165659</v>
      </c>
      <c r="Q5" s="10">
        <v>2.5</v>
      </c>
      <c r="R5" s="10">
        <v>25</v>
      </c>
      <c r="S5" s="19" t="s">
        <v>150</v>
      </c>
      <c r="T5" s="10">
        <v>38.034332275390625</v>
      </c>
      <c r="U5" s="10">
        <v>37.864677429199219</v>
      </c>
      <c r="V5" s="10"/>
    </row>
    <row r="6" spans="1:22" x14ac:dyDescent="0.2">
      <c r="A6" s="2" t="s">
        <v>1</v>
      </c>
      <c r="B6" s="2" t="s">
        <v>3</v>
      </c>
      <c r="C6" s="2" t="s">
        <v>135</v>
      </c>
      <c r="D6" s="2" t="s">
        <v>140</v>
      </c>
      <c r="E6" s="2">
        <v>5</v>
      </c>
      <c r="F6" s="2">
        <v>125</v>
      </c>
      <c r="G6" s="24" t="s">
        <v>179</v>
      </c>
      <c r="H6" s="24" t="s">
        <v>171</v>
      </c>
      <c r="I6" s="2">
        <v>70</v>
      </c>
      <c r="J6" s="24" t="s">
        <v>176</v>
      </c>
      <c r="K6" s="2" t="s">
        <v>129</v>
      </c>
      <c r="L6" s="2">
        <v>45</v>
      </c>
      <c r="M6" s="3">
        <f t="shared" si="0"/>
        <v>917.99999999999989</v>
      </c>
      <c r="N6" s="2">
        <v>20.399999999999999</v>
      </c>
      <c r="O6" s="10">
        <f>250/N6</f>
        <v>12.254901960784315</v>
      </c>
      <c r="P6" s="10">
        <f>22.5-O6</f>
        <v>10.245098039215685</v>
      </c>
      <c r="Q6" s="10">
        <v>2.5</v>
      </c>
      <c r="R6" s="10">
        <v>25</v>
      </c>
      <c r="S6" s="19" t="s">
        <v>151</v>
      </c>
      <c r="T6" s="10" t="s">
        <v>162</v>
      </c>
      <c r="U6" s="10" t="s">
        <v>162</v>
      </c>
      <c r="V6" s="10"/>
    </row>
    <row r="7" spans="1:22" x14ac:dyDescent="0.2">
      <c r="A7" s="2" t="s">
        <v>1</v>
      </c>
      <c r="B7" s="2" t="s">
        <v>3</v>
      </c>
      <c r="C7" s="2" t="s">
        <v>135</v>
      </c>
      <c r="D7" s="2" t="s">
        <v>140</v>
      </c>
      <c r="E7" s="2">
        <v>6</v>
      </c>
      <c r="F7" s="2">
        <v>126</v>
      </c>
      <c r="G7" s="25" t="s">
        <v>180</v>
      </c>
      <c r="H7" s="25" t="s">
        <v>175</v>
      </c>
      <c r="I7" s="15">
        <v>42</v>
      </c>
      <c r="J7" s="25" t="s">
        <v>176</v>
      </c>
      <c r="K7" s="2" t="s">
        <v>129</v>
      </c>
      <c r="L7" s="2">
        <v>45</v>
      </c>
      <c r="M7" s="3">
        <f t="shared" si="0"/>
        <v>136.35</v>
      </c>
      <c r="N7" s="15">
        <v>3.03</v>
      </c>
      <c r="O7" s="10">
        <v>22.5</v>
      </c>
      <c r="P7" s="10">
        <v>0</v>
      </c>
      <c r="Q7" s="13">
        <v>2.5</v>
      </c>
      <c r="R7" s="13">
        <v>25</v>
      </c>
      <c r="S7" s="19" t="s">
        <v>132</v>
      </c>
      <c r="T7" s="10" t="s">
        <v>162</v>
      </c>
      <c r="U7" s="10" t="s">
        <v>162</v>
      </c>
      <c r="V7" s="10"/>
    </row>
    <row r="8" spans="1:22" x14ac:dyDescent="0.2">
      <c r="A8" s="2" t="s">
        <v>1</v>
      </c>
      <c r="B8" s="2" t="s">
        <v>3</v>
      </c>
      <c r="C8" s="2" t="s">
        <v>135</v>
      </c>
      <c r="D8" s="2" t="s">
        <v>140</v>
      </c>
      <c r="E8" s="2">
        <v>7</v>
      </c>
      <c r="F8" s="2">
        <v>127</v>
      </c>
      <c r="G8" s="25" t="s">
        <v>174</v>
      </c>
      <c r="H8" s="25" t="s">
        <v>175</v>
      </c>
      <c r="I8" s="15">
        <v>39</v>
      </c>
      <c r="J8" s="25" t="s">
        <v>176</v>
      </c>
      <c r="K8" s="2" t="s">
        <v>129</v>
      </c>
      <c r="L8" s="2">
        <v>45</v>
      </c>
      <c r="M8" s="3">
        <f t="shared" si="0"/>
        <v>346.05</v>
      </c>
      <c r="N8" s="15">
        <v>7.69</v>
      </c>
      <c r="O8" s="10">
        <v>22</v>
      </c>
      <c r="P8" s="10">
        <v>0</v>
      </c>
      <c r="Q8" s="13">
        <v>2.5</v>
      </c>
      <c r="R8" s="13">
        <v>25</v>
      </c>
      <c r="S8" s="19" t="s">
        <v>133</v>
      </c>
      <c r="T8" s="10" t="s">
        <v>162</v>
      </c>
      <c r="U8" s="10" t="s">
        <v>162</v>
      </c>
      <c r="V8" s="10"/>
    </row>
    <row r="9" spans="1:22" ht="17" thickBot="1" x14ac:dyDescent="0.25">
      <c r="A9" s="6" t="s">
        <v>1</v>
      </c>
      <c r="B9" s="6" t="s">
        <v>3</v>
      </c>
      <c r="C9" s="6" t="s">
        <v>135</v>
      </c>
      <c r="D9" s="6" t="s">
        <v>140</v>
      </c>
      <c r="E9" s="6">
        <v>8</v>
      </c>
      <c r="F9" s="6">
        <v>128</v>
      </c>
      <c r="G9" s="28" t="s">
        <v>185</v>
      </c>
      <c r="H9" s="28" t="s">
        <v>175</v>
      </c>
      <c r="I9" s="6">
        <v>13</v>
      </c>
      <c r="J9" s="28" t="s">
        <v>172</v>
      </c>
      <c r="K9" s="6" t="s">
        <v>129</v>
      </c>
      <c r="L9" s="6">
        <v>45</v>
      </c>
      <c r="M9" s="7">
        <f t="shared" si="0"/>
        <v>954</v>
      </c>
      <c r="N9" s="6">
        <v>21.2</v>
      </c>
      <c r="O9" s="12">
        <v>5</v>
      </c>
      <c r="P9" s="12">
        <f t="shared" ref="P9:P17" si="1">22.5-O9</f>
        <v>17.5</v>
      </c>
      <c r="Q9" s="12">
        <v>2.5</v>
      </c>
      <c r="R9" s="12">
        <v>25</v>
      </c>
      <c r="S9" s="20" t="s">
        <v>160</v>
      </c>
      <c r="T9" s="18" t="s">
        <v>162</v>
      </c>
      <c r="U9" s="12">
        <v>36.334514617919922</v>
      </c>
      <c r="V9" s="22">
        <v>37.338207244873047</v>
      </c>
    </row>
    <row r="10" spans="1:22" x14ac:dyDescent="0.2">
      <c r="A10" s="4" t="s">
        <v>1</v>
      </c>
      <c r="B10" s="4" t="s">
        <v>3</v>
      </c>
      <c r="C10" s="4" t="s">
        <v>135</v>
      </c>
      <c r="D10" s="4" t="s">
        <v>140</v>
      </c>
      <c r="E10" s="4">
        <v>9</v>
      </c>
      <c r="F10" s="4">
        <v>129</v>
      </c>
      <c r="G10" s="26" t="s">
        <v>178</v>
      </c>
      <c r="H10" s="26" t="s">
        <v>175</v>
      </c>
      <c r="I10" s="4">
        <v>38</v>
      </c>
      <c r="J10" s="26" t="s">
        <v>176</v>
      </c>
      <c r="K10" s="4" t="s">
        <v>129</v>
      </c>
      <c r="L10" s="4">
        <v>45</v>
      </c>
      <c r="M10" s="5">
        <f t="shared" si="0"/>
        <v>435.59999999999997</v>
      </c>
      <c r="N10" s="4">
        <v>9.68</v>
      </c>
      <c r="O10" s="11">
        <v>22.5</v>
      </c>
      <c r="P10" s="11">
        <f t="shared" si="1"/>
        <v>0</v>
      </c>
      <c r="Q10" s="11">
        <v>2.5</v>
      </c>
      <c r="R10" s="11">
        <v>25</v>
      </c>
      <c r="S10" s="21" t="s">
        <v>152</v>
      </c>
      <c r="T10" s="11" t="s">
        <v>162</v>
      </c>
      <c r="U10" s="11" t="s">
        <v>162</v>
      </c>
      <c r="V10" s="10"/>
    </row>
    <row r="11" spans="1:22" x14ac:dyDescent="0.2">
      <c r="A11" s="2" t="s">
        <v>1</v>
      </c>
      <c r="B11" s="2" t="s">
        <v>3</v>
      </c>
      <c r="C11" s="2" t="s">
        <v>135</v>
      </c>
      <c r="D11" s="2" t="s">
        <v>140</v>
      </c>
      <c r="E11" s="2">
        <v>10</v>
      </c>
      <c r="F11" s="2">
        <v>130</v>
      </c>
      <c r="G11" s="24" t="s">
        <v>183</v>
      </c>
      <c r="H11" s="24" t="s">
        <v>171</v>
      </c>
      <c r="I11" s="2">
        <v>78</v>
      </c>
      <c r="J11" s="24" t="s">
        <v>176</v>
      </c>
      <c r="K11" s="2" t="s">
        <v>129</v>
      </c>
      <c r="L11" s="2">
        <v>45</v>
      </c>
      <c r="M11" s="3">
        <f t="shared" si="0"/>
        <v>864</v>
      </c>
      <c r="N11" s="2">
        <v>19.2</v>
      </c>
      <c r="O11" s="10">
        <f>250/N11</f>
        <v>13.020833333333334</v>
      </c>
      <c r="P11" s="10">
        <f t="shared" si="1"/>
        <v>9.4791666666666661</v>
      </c>
      <c r="Q11" s="10">
        <v>2.5</v>
      </c>
      <c r="R11" s="10">
        <v>25</v>
      </c>
      <c r="S11" s="19" t="s">
        <v>153</v>
      </c>
      <c r="T11" s="17" t="s">
        <v>162</v>
      </c>
      <c r="U11" s="10">
        <v>38.623600006103516</v>
      </c>
      <c r="V11" s="10"/>
    </row>
    <row r="12" spans="1:22" x14ac:dyDescent="0.2">
      <c r="A12" s="2" t="s">
        <v>1</v>
      </c>
      <c r="B12" s="2" t="s">
        <v>3</v>
      </c>
      <c r="C12" s="2" t="s">
        <v>135</v>
      </c>
      <c r="D12" s="2" t="s">
        <v>140</v>
      </c>
      <c r="E12" s="2">
        <v>11</v>
      </c>
      <c r="F12" s="2">
        <v>131</v>
      </c>
      <c r="G12" s="24" t="s">
        <v>184</v>
      </c>
      <c r="H12" s="24" t="s">
        <v>171</v>
      </c>
      <c r="I12" s="2">
        <v>78</v>
      </c>
      <c r="J12" s="24" t="s">
        <v>176</v>
      </c>
      <c r="K12" s="2" t="s">
        <v>129</v>
      </c>
      <c r="L12" s="2">
        <v>45</v>
      </c>
      <c r="M12" s="3">
        <f t="shared" si="0"/>
        <v>450</v>
      </c>
      <c r="N12" s="2">
        <v>10</v>
      </c>
      <c r="O12" s="10">
        <v>22.5</v>
      </c>
      <c r="P12" s="10">
        <f t="shared" si="1"/>
        <v>0</v>
      </c>
      <c r="Q12" s="10">
        <v>2.5</v>
      </c>
      <c r="R12" s="10">
        <v>25</v>
      </c>
      <c r="S12" s="19" t="s">
        <v>154</v>
      </c>
      <c r="T12" s="17" t="s">
        <v>162</v>
      </c>
      <c r="U12" s="10">
        <v>38.167736053466797</v>
      </c>
      <c r="V12" s="10"/>
    </row>
    <row r="13" spans="1:22" x14ac:dyDescent="0.2">
      <c r="A13" s="2" t="s">
        <v>1</v>
      </c>
      <c r="B13" s="2" t="s">
        <v>3</v>
      </c>
      <c r="C13" s="2" t="s">
        <v>135</v>
      </c>
      <c r="D13" s="2" t="s">
        <v>140</v>
      </c>
      <c r="E13" s="2">
        <v>12</v>
      </c>
      <c r="F13" s="2">
        <v>132</v>
      </c>
      <c r="G13" s="24" t="s">
        <v>182</v>
      </c>
      <c r="H13" s="24" t="s">
        <v>175</v>
      </c>
      <c r="I13" s="2">
        <v>42</v>
      </c>
      <c r="J13" s="24" t="s">
        <v>176</v>
      </c>
      <c r="K13" s="2" t="s">
        <v>129</v>
      </c>
      <c r="L13" s="2">
        <v>45</v>
      </c>
      <c r="M13" s="3">
        <f t="shared" si="0"/>
        <v>381.6</v>
      </c>
      <c r="N13" s="2">
        <v>8.48</v>
      </c>
      <c r="O13" s="10">
        <v>22.5</v>
      </c>
      <c r="P13" s="10">
        <f t="shared" si="1"/>
        <v>0</v>
      </c>
      <c r="Q13" s="10">
        <v>2.5</v>
      </c>
      <c r="R13" s="10">
        <v>25</v>
      </c>
      <c r="S13" s="19" t="s">
        <v>155</v>
      </c>
      <c r="T13" s="10" t="s">
        <v>162</v>
      </c>
      <c r="U13" s="10" t="s">
        <v>162</v>
      </c>
      <c r="V13" s="10"/>
    </row>
    <row r="14" spans="1:22" x14ac:dyDescent="0.2">
      <c r="A14" s="2" t="s">
        <v>1</v>
      </c>
      <c r="B14" s="2" t="s">
        <v>3</v>
      </c>
      <c r="C14" s="2" t="s">
        <v>135</v>
      </c>
      <c r="D14" s="2" t="s">
        <v>140</v>
      </c>
      <c r="E14" s="2">
        <v>13</v>
      </c>
      <c r="F14" s="2">
        <v>133</v>
      </c>
      <c r="G14" s="24" t="s">
        <v>181</v>
      </c>
      <c r="H14" s="24" t="s">
        <v>175</v>
      </c>
      <c r="I14" s="2">
        <v>26</v>
      </c>
      <c r="J14" s="24" t="s">
        <v>176</v>
      </c>
      <c r="K14" s="2" t="s">
        <v>129</v>
      </c>
      <c r="L14" s="2">
        <v>45</v>
      </c>
      <c r="M14" s="3">
        <f t="shared" si="0"/>
        <v>1363.5</v>
      </c>
      <c r="N14" s="2">
        <v>30.3</v>
      </c>
      <c r="O14" s="10">
        <f>250/N14</f>
        <v>8.2508250825082499</v>
      </c>
      <c r="P14" s="10">
        <f t="shared" si="1"/>
        <v>14.24917491749175</v>
      </c>
      <c r="Q14" s="10">
        <v>2.5</v>
      </c>
      <c r="R14" s="10">
        <v>25</v>
      </c>
      <c r="S14" s="19" t="s">
        <v>161</v>
      </c>
      <c r="T14" s="10" t="s">
        <v>162</v>
      </c>
      <c r="U14" s="10" t="s">
        <v>162</v>
      </c>
      <c r="V14" s="22"/>
    </row>
    <row r="15" spans="1:22" x14ac:dyDescent="0.2">
      <c r="A15" s="2" t="s">
        <v>1</v>
      </c>
      <c r="B15" s="2" t="s">
        <v>3</v>
      </c>
      <c r="C15" s="2" t="s">
        <v>135</v>
      </c>
      <c r="D15" s="2" t="s">
        <v>140</v>
      </c>
      <c r="E15" s="2">
        <v>14</v>
      </c>
      <c r="F15" s="2">
        <v>134</v>
      </c>
      <c r="G15" s="24" t="s">
        <v>173</v>
      </c>
      <c r="H15" s="24" t="s">
        <v>171</v>
      </c>
      <c r="I15" s="2">
        <v>66</v>
      </c>
      <c r="J15" s="24" t="s">
        <v>172</v>
      </c>
      <c r="K15" s="2" t="s">
        <v>129</v>
      </c>
      <c r="L15" s="2">
        <v>45</v>
      </c>
      <c r="M15" s="3">
        <f t="shared" si="0"/>
        <v>495</v>
      </c>
      <c r="N15" s="2">
        <v>11</v>
      </c>
      <c r="O15" s="10">
        <v>22.5</v>
      </c>
      <c r="P15" s="10">
        <f t="shared" si="1"/>
        <v>0</v>
      </c>
      <c r="Q15" s="10">
        <v>2.5</v>
      </c>
      <c r="R15" s="10">
        <v>25</v>
      </c>
      <c r="S15" s="30" t="s">
        <v>156</v>
      </c>
      <c r="T15" s="10" t="s">
        <v>162</v>
      </c>
      <c r="U15" s="10" t="s">
        <v>162</v>
      </c>
      <c r="V15" s="10"/>
    </row>
    <row r="16" spans="1:22" x14ac:dyDescent="0.2">
      <c r="A16" s="2" t="s">
        <v>1</v>
      </c>
      <c r="B16" s="2" t="s">
        <v>3</v>
      </c>
      <c r="C16" s="2" t="s">
        <v>135</v>
      </c>
      <c r="D16" s="2" t="s">
        <v>140</v>
      </c>
      <c r="E16" s="2">
        <v>15</v>
      </c>
      <c r="F16" s="2">
        <v>135</v>
      </c>
      <c r="G16" s="25" t="s">
        <v>187</v>
      </c>
      <c r="H16" s="25" t="s">
        <v>171</v>
      </c>
      <c r="I16" s="15">
        <v>65</v>
      </c>
      <c r="J16" s="25" t="s">
        <v>176</v>
      </c>
      <c r="K16" s="2" t="s">
        <v>129</v>
      </c>
      <c r="L16" s="2">
        <v>45</v>
      </c>
      <c r="M16" s="3">
        <f t="shared" si="0"/>
        <v>252.9</v>
      </c>
      <c r="N16" s="15">
        <v>5.62</v>
      </c>
      <c r="O16" s="10">
        <v>22.5</v>
      </c>
      <c r="P16" s="10">
        <f t="shared" si="1"/>
        <v>0</v>
      </c>
      <c r="Q16" s="13">
        <v>2.5</v>
      </c>
      <c r="R16" s="13">
        <v>25</v>
      </c>
      <c r="S16" s="19" t="s">
        <v>157</v>
      </c>
      <c r="T16" s="10" t="s">
        <v>162</v>
      </c>
      <c r="U16" s="10" t="s">
        <v>162</v>
      </c>
      <c r="V16" s="10"/>
    </row>
    <row r="17" spans="1:22" ht="17" thickBot="1" x14ac:dyDescent="0.25">
      <c r="A17" s="6" t="s">
        <v>1</v>
      </c>
      <c r="B17" s="6" t="s">
        <v>3</v>
      </c>
      <c r="C17" s="6" t="s">
        <v>135</v>
      </c>
      <c r="D17" s="6" t="s">
        <v>140</v>
      </c>
      <c r="E17" s="6">
        <v>16</v>
      </c>
      <c r="F17" s="6">
        <v>136</v>
      </c>
      <c r="G17" s="16" t="s">
        <v>126</v>
      </c>
      <c r="H17" s="27" t="s">
        <v>175</v>
      </c>
      <c r="I17" s="16">
        <v>38</v>
      </c>
      <c r="J17" s="27" t="s">
        <v>176</v>
      </c>
      <c r="K17" s="6" t="s">
        <v>129</v>
      </c>
      <c r="L17" s="6">
        <v>45</v>
      </c>
      <c r="M17" s="7">
        <f t="shared" si="0"/>
        <v>202.05</v>
      </c>
      <c r="N17" s="16">
        <v>4.49</v>
      </c>
      <c r="O17" s="10">
        <v>22.5</v>
      </c>
      <c r="P17" s="12">
        <f t="shared" si="1"/>
        <v>0</v>
      </c>
      <c r="Q17" s="14">
        <v>2.5</v>
      </c>
      <c r="R17" s="14">
        <v>25</v>
      </c>
      <c r="S17" s="20" t="s">
        <v>158</v>
      </c>
      <c r="T17" s="10" t="s">
        <v>162</v>
      </c>
      <c r="U17" s="10" t="s">
        <v>162</v>
      </c>
      <c r="V17" s="10"/>
    </row>
  </sheetData>
  <sortState xmlns:xlrd2="http://schemas.microsoft.com/office/spreadsheetml/2017/richdata2" ref="A2:V18">
    <sortCondition ref="E2:E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120 Frozen Tissue</vt:lpstr>
      <vt:lpstr>16 FFPE</vt:lpstr>
      <vt:lpstr>'120 Frozen Tissue'!Print_Area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Rieger, Michael Adam</dc:creator>
  <cp:lastModifiedBy>Weisenberger, Daniel Joseph</cp:lastModifiedBy>
  <cp:lastPrinted>2026-04-30T00:43:15Z</cp:lastPrinted>
  <dcterms:created xsi:type="dcterms:W3CDTF">2015-06-05T18:17:20Z</dcterms:created>
  <dcterms:modified xsi:type="dcterms:W3CDTF">2026-05-07T23:35:16Z</dcterms:modified>
</cp:coreProperties>
</file>