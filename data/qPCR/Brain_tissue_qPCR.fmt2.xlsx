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data/qPCR/"/>
    </mc:Choice>
  </mc:AlternateContent>
  <xr:revisionPtr revIDLastSave="0" documentId="8_{EB5F35A4-BB49-074A-9636-B80C53318AA7}" xr6:coauthVersionLast="47" xr6:coauthVersionMax="47" xr10:uidLastSave="{00000000-0000-0000-0000-000000000000}"/>
  <bookViews>
    <workbookView xWindow="33080" yWindow="4680" windowWidth="27640" windowHeight="16940" xr2:uid="{CCE6CB52-3461-0E46-9CF2-3B1B442A1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1" i="1" l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<sst xmlns="http://schemas.openxmlformats.org/spreadsheetml/2006/main" count="645" uniqueCount="177">
  <si>
    <t>Conc. (ng/ul)</t>
  </si>
  <si>
    <t xml:space="preserve">260/280 </t>
  </si>
  <si>
    <t xml:space="preserve">260/230 </t>
  </si>
  <si>
    <t>Volume DNA in 1000ng</t>
  </si>
  <si>
    <t>Volume water to 36ul</t>
  </si>
  <si>
    <t>000069</t>
  </si>
  <si>
    <t xml:space="preserve"> Occipital</t>
  </si>
  <si>
    <t>XX-000069-54E1-OBD01-01-01-DB01-02-68</t>
  </si>
  <si>
    <t>p2058</t>
  </si>
  <si>
    <t>None</t>
  </si>
  <si>
    <t xml:space="preserve"> Frontal</t>
  </si>
  <si>
    <t>XX-000069-54E1-FBD01-01-01-DB01-02-69</t>
  </si>
  <si>
    <t>000070</t>
  </si>
  <si>
    <t>XX-000070-54E1-OBD01-01-01-DB01-02-70</t>
  </si>
  <si>
    <t>000071</t>
  </si>
  <si>
    <t>XX-000071-54E1-FBD01-01-01-DB01-02-71</t>
  </si>
  <si>
    <t>000072</t>
  </si>
  <si>
    <t>XX-000072-54E1-FBD01-01-01-DB01-02-72</t>
  </si>
  <si>
    <t>000073</t>
  </si>
  <si>
    <t xml:space="preserve"> Inferior Cortex</t>
  </si>
  <si>
    <t>XX-000073-54E1-ITD01-01-01-DB01-02-73</t>
  </si>
  <si>
    <t>XX-000072-54E1-OBD01-01-01-DB01-02-74</t>
  </si>
  <si>
    <t>XX-000073-54E1-FBD01-01-01-DB01-02-75</t>
  </si>
  <si>
    <t>XX-000071-54E1-ITD01-01-01-DB01-02-76</t>
  </si>
  <si>
    <t>000074</t>
  </si>
  <si>
    <t>XX-000074-54E1-OBD01-01-01-DB01-02-77</t>
  </si>
  <si>
    <t>XX-000074-54E1-FBD01-01-01-DB01-02-78</t>
  </si>
  <si>
    <t>XX-000074-54E1-ITD01-01-01-DB01-02-79</t>
  </si>
  <si>
    <t>000075</t>
  </si>
  <si>
    <t>XX-000075-54E1-FBD01-01-01-DB01-02-80</t>
  </si>
  <si>
    <t>000076</t>
  </si>
  <si>
    <t>XX-000076-54E1-FBD01-01-01-DB01-02-81</t>
  </si>
  <si>
    <t>000077</t>
  </si>
  <si>
    <t>XX-000077-54E1-ITD01-01-01-DB01-03-01</t>
  </si>
  <si>
    <t>XX-000077-54E1-FBD01-01-01-DB01-03-02</t>
  </si>
  <si>
    <t>000078</t>
  </si>
  <si>
    <t>XX-000078-54E1-OBD01-01-01-DB01-03-03</t>
  </si>
  <si>
    <t>XX-000076-54E1-OBD01-01-01-DB01-03-04</t>
  </si>
  <si>
    <t>XX-000078-54E1-ITD01-01-01-DB01-03-05</t>
  </si>
  <si>
    <t>XX-000073-54E1-OBD01-01-01-DB01-03-06</t>
  </si>
  <si>
    <t>XX-000078-54E1-FBD01-01-01-DB01-03-07</t>
  </si>
  <si>
    <t>000079</t>
  </si>
  <si>
    <t>XX-000079-54E1-FBD01-01-01-DB01-03-08</t>
  </si>
  <si>
    <t>XX-000079-54E1-ITD01-01-01-DB01-03-09</t>
  </si>
  <si>
    <t>XX-000079-54E1-OBD01-01-01-DB01-03-10</t>
  </si>
  <si>
    <t>XX-000069-54E1-ITD01-01-01-DB01-03-11</t>
  </si>
  <si>
    <t>000080</t>
  </si>
  <si>
    <t>XX-000080-54E1-OBD01-01-01-DB01-03-12</t>
  </si>
  <si>
    <t>000081</t>
  </si>
  <si>
    <t>XX-000081-54E1-OBD01-01-01-DB01-03-13</t>
  </si>
  <si>
    <t>XX-000072-54E1-ITD01-01-01-DB01-03-14</t>
  </si>
  <si>
    <t>000082</t>
  </si>
  <si>
    <t>XX-000082-54E1-OBD01-01-01-DB01-03-15</t>
  </si>
  <si>
    <t>XX-000082-54E1-FBD01-01-01-DB01-03-16</t>
  </si>
  <si>
    <t>XX-000082-54E1-ITD01-01-01-DB01-03-17</t>
  </si>
  <si>
    <t>000083</t>
  </si>
  <si>
    <t>XX-000083-54E1-OBD01-01-01-DB01-03-18</t>
  </si>
  <si>
    <t>XX-000083-54E1-FBD01-01-01-DB01-03-19</t>
  </si>
  <si>
    <t>XX-000083-54E1-ITD01-01-01-DB01-03-20</t>
  </si>
  <si>
    <t>XX-000075-54E1-ITD01-01-01-DB01-03-21</t>
  </si>
  <si>
    <t>000084</t>
  </si>
  <si>
    <t>XX-000084-54E1-FBD01-01-01-DB01-03-22</t>
  </si>
  <si>
    <t>XX-000084-54E1-OBD01-01-01-DB01-03-23</t>
  </si>
  <si>
    <t>XX-000075-54E1-OBD01-01-01-DB01-03-24</t>
  </si>
  <si>
    <t>XX-000077-54E1-OBD01-01-01-DB01-03-25</t>
  </si>
  <si>
    <t>XX-000076-54E1-ITD01-01-01-DB01-03-26</t>
  </si>
  <si>
    <t>000085</t>
  </si>
  <si>
    <t>XX-000085-54E1-OBD01-01-01-DB01-03-27</t>
  </si>
  <si>
    <t>XX-000085-54E1-ITD01-01-01-DB01-03-28</t>
  </si>
  <si>
    <t>000086</t>
  </si>
  <si>
    <t>XX-000086-54E1-ITD01-01-01-DB01-03-29</t>
  </si>
  <si>
    <t>XX-000086-54E1-FBD01-01-01-DB01-03-30</t>
  </si>
  <si>
    <t>000087</t>
  </si>
  <si>
    <t>XX-000087-54E1-OBD01-01-01-DB01-03-31</t>
  </si>
  <si>
    <t>XX-000070-54E1-ITD01-01-01-DB01-03-32</t>
  </si>
  <si>
    <t>000088</t>
  </si>
  <si>
    <t>XX-000088-54E1-OBD01-01-01-DB01-03-33</t>
  </si>
  <si>
    <t>XX-000070-54E1-FBD01-01-01-DB01-03-34</t>
  </si>
  <si>
    <t>XX-000088-54E1-FBD01-01-01-DB01-03-35</t>
  </si>
  <si>
    <t>XX-000088-54E1-ITD01-01-01-DB01-03-36</t>
  </si>
  <si>
    <t>XX-000071-54E1-OBD01-01-01-DB01-03-37</t>
  </si>
  <si>
    <t>XX-000081-54E1-FBD01-01-01-DB01-03-38</t>
  </si>
  <si>
    <t>XX-000084-54E1-ITD01-01-01-DB01-03-39</t>
  </si>
  <si>
    <t>XX-000081-54E1-ITD01-01-01-DB01-03-40</t>
  </si>
  <si>
    <t>000089</t>
  </si>
  <si>
    <t>XX-000089-54E1-OBD01-01-01-DB01-03-41</t>
  </si>
  <si>
    <t>000090</t>
  </si>
  <si>
    <t>XX-000090-54E1-ITD01-01-01-DB01-03-42</t>
  </si>
  <si>
    <t>XX-000090-54E1-OBD01-01-01-DB01-03-43</t>
  </si>
  <si>
    <t>XX-000090-54E1-FBD01-01-01-DB01-03-44</t>
  </si>
  <si>
    <t>XX-000080-54E1-ITD01-01-01-DB01-03-45</t>
  </si>
  <si>
    <t>XX-000080-54E1-FBD01-01-01-DB01-03-46</t>
  </si>
  <si>
    <t>000091</t>
  </si>
  <si>
    <t>XX-000091-54E1-FBD01-01-01-DB01-03-47</t>
  </si>
  <si>
    <t>XX-000091-54E1-OBD01-01-01-DB01-03-48</t>
  </si>
  <si>
    <t>XX-000091-54E1-ITD01-01-01-DB01-03-49</t>
  </si>
  <si>
    <t>XX-000087-54E1-ITD01-01-01-DB01-03-50</t>
  </si>
  <si>
    <t>XX-000087-54E1-FBD01-01-01-DB01-03-51</t>
  </si>
  <si>
    <t>XX-000086-54E1-OBD01-01-01-DB01-03-52</t>
  </si>
  <si>
    <t>000092</t>
  </si>
  <si>
    <t>XX-000092-54E1-OBD01-01-01-DB01-03-53</t>
  </si>
  <si>
    <t>XX-000085-54E1-FBD01-01-01-DB01-03-54</t>
  </si>
  <si>
    <t>000093</t>
  </si>
  <si>
    <t>XX-000093-54E1-ITD01-01-01-DB01-03-55</t>
  </si>
  <si>
    <t>XX-000089-54E1-ITD01-01-01-DB01-03-56</t>
  </si>
  <si>
    <t>000094</t>
  </si>
  <si>
    <t>XX-000094-54E1-ITD01-01-01-DB01-03-57</t>
  </si>
  <si>
    <t>XX-000094-54E1-FBD01-01-01-DB01-03-58</t>
  </si>
  <si>
    <t>XX-000094-54E1-OBD01-01-01-DB01-03-59</t>
  </si>
  <si>
    <t>000095</t>
  </si>
  <si>
    <t>XX-000095-54E1-OBD01-01-01-DB01-03-60</t>
  </si>
  <si>
    <t>000096</t>
  </si>
  <si>
    <t>XX-000096-54E1-OBD01-01-01-DB01-03-61</t>
  </si>
  <si>
    <t>XX-000096-54E1-ITD01-01-01-DB01-03-62</t>
  </si>
  <si>
    <t>000097</t>
  </si>
  <si>
    <t>XX-000097-54E1-ITD01-01-01-DB01-03-63</t>
  </si>
  <si>
    <t>XX-000096-54E1-FBD01-01-01-DB01-03-64</t>
  </si>
  <si>
    <t>XX-000095-54E1-ITD01-01-01-DB01-03-65</t>
  </si>
  <si>
    <t>XX-000093-54E1-OBD01-01-01-DB01-03-66</t>
  </si>
  <si>
    <t>XX-000093-54E1-FBD01-01-01-DB01-03-67</t>
  </si>
  <si>
    <t>XX-000097-54E1-FBD01-01-01-DB01-03-68</t>
  </si>
  <si>
    <t>000098</t>
  </si>
  <si>
    <t>XX-000098-54E1-FBD01-01-01-DB01-03-69</t>
  </si>
  <si>
    <t>000099</t>
  </si>
  <si>
    <t>XX-000099-54E1-FBD01-01-01-DB01-03-70</t>
  </si>
  <si>
    <t>000100</t>
  </si>
  <si>
    <t>XX-000100-54E1-OBD01-01-01-DB01-03-71</t>
  </si>
  <si>
    <t>XX-000099-54E1-ITD01-01-01-DB01-03-72</t>
  </si>
  <si>
    <t>XX-000092-54E1-ITD01-01-01-DB01-03-73</t>
  </si>
  <si>
    <t>XX-000100-54E1-FBD01-01-01-DB01-03-74</t>
  </si>
  <si>
    <t>XX-000100-54E1-ITD01-01-01-DB01-03-75</t>
  </si>
  <si>
    <t>XX-000099-54E1-OBD01-01-01-DB01-03-76</t>
  </si>
  <si>
    <t>000101</t>
  </si>
  <si>
    <t>XX-000101-54E1-OBD01-01-01-DB01-03-77</t>
  </si>
  <si>
    <t>XX-000101-54E1-ITD01-01-01-DB01-03-78</t>
  </si>
  <si>
    <t>XX-000097-54E1-OBD01-01-01-DB01-03-79</t>
  </si>
  <si>
    <t>XX-000101-54E1-FBD01-01-01-DB01-03-80</t>
  </si>
  <si>
    <t>XX-000089-54E1-FBD01-01-01-DB01-03-81</t>
  </si>
  <si>
    <t>XX-000095-54E1-FBD01-01-01-DB01-04-01</t>
  </si>
  <si>
    <t>000102</t>
  </si>
  <si>
    <t>XX-000102-54E1-ITD01-01-01-DB01-04-02</t>
  </si>
  <si>
    <t>XX-000102-54E1-FBD01-01-01-DB01-04-03</t>
  </si>
  <si>
    <t>XX-000102-54E1-OBD01-01-01-DB01-04-04</t>
  </si>
  <si>
    <t>XX-000098-54E1-ITD01-01-01-DB01-04-05</t>
  </si>
  <si>
    <t>000103</t>
  </si>
  <si>
    <t>XX-000103-54E1-OBD01-01-01-DB01-04-06</t>
  </si>
  <si>
    <t>000104</t>
  </si>
  <si>
    <t>XX-000104-54E1-FBD01-01-01-DB01-04-07</t>
  </si>
  <si>
    <t>XX-000104-54E1-OBD01-01-01-DB01-04-08</t>
  </si>
  <si>
    <t>XX-000103-54E1-FBD01-01-01-DB01-04-09</t>
  </si>
  <si>
    <t>XX-000103-54E1-ITD01-01-01-DB01-04-10</t>
  </si>
  <si>
    <t>XX-000104-54E1-ITD01-01-01-DB01-04-11</t>
  </si>
  <si>
    <t>XX-000098-54E1-OBD01-01-01-DB01-04-12</t>
  </si>
  <si>
    <t>000105</t>
  </si>
  <si>
    <t>XX-000105-54E1-OBD01-01-01-DB01-04-13</t>
  </si>
  <si>
    <t>XX-000105-54E1-FBD01-01-01-DB01-04-14</t>
  </si>
  <si>
    <t>XX-000105-54E1-ITD01-01-01-DB01-04-15</t>
  </si>
  <si>
    <t>000106</t>
  </si>
  <si>
    <t>XX-000106-54E1-ITD01-01-01-DB01-04-16</t>
  </si>
  <si>
    <t>XX-000106-54E1-FBD01-01-01-DB01-04-17</t>
  </si>
  <si>
    <t>XX-000106-54E1-OBD01-01-01-DB01-04-18</t>
  </si>
  <si>
    <t>000107</t>
  </si>
  <si>
    <t>XX-000107-54E1-ITD01-01-01-DB01-04-19</t>
  </si>
  <si>
    <t>XX-000107-54E1-FBD01-01-01-DB01-04-20</t>
  </si>
  <si>
    <t>XX-000107-54E1-OBD01-01-01-DB01-04-21</t>
  </si>
  <si>
    <t>XX-000092-54E1-FBD01-01-01-DB01-04-22</t>
  </si>
  <si>
    <t>000108</t>
  </si>
  <si>
    <t>XX-000108-54E1-OBD01-01-01-DB01-04-23</t>
  </si>
  <si>
    <t>XX-000108-54E1-FBD01-01-01-DB01-04-24</t>
  </si>
  <si>
    <t>XX-000108-54E1-ITD01-01-01-DB01-04-25</t>
  </si>
  <si>
    <t>Ct_1a</t>
  </si>
  <si>
    <t>Ct_2a</t>
  </si>
  <si>
    <t>Ct_2b</t>
  </si>
  <si>
    <t>patient_number</t>
  </si>
  <si>
    <t>sample_ID</t>
  </si>
  <si>
    <t>Pool</t>
  </si>
  <si>
    <t>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</si>
</sst>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7533-976C-7248-8F54-93543D54D741}">
  <dimension ref="A1:L121"/>
  <sheetViews>
    <sheetView tabSelected="1" workbookViewId="0">
      <selection activeCell="H6" sqref="H6"/>
    </sheetView>
  </sheetViews>
  <sheetFormatPr baseColWidth="10" defaultRowHeight="16" x14ac:dyDescent="0.2"/>
  <sheetData>
    <row r="1" spans="1:12" ht="51" x14ac:dyDescent="0.2">
      <c r="A1" s="1" t="s">
        <v>176</v>
      </c>
      <c r="B1" s="2" t="s">
        <v>173</v>
      </c>
      <c r="C1" s="2" t="s">
        <v>174</v>
      </c>
      <c r="D1" s="2" t="s">
        <v>175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170</v>
      </c>
      <c r="K1" s="1" t="s">
        <v>171</v>
      </c>
      <c r="L1" s="1" t="s">
        <v>172</v>
      </c>
    </row>
    <row r="2" spans="1:12" x14ac:dyDescent="0.2">
      <c r="A2" s="3" t="s">
        <v>6</v>
      </c>
      <c r="B2" s="3" t="s">
        <v>5</v>
      </c>
      <c r="C2" s="3" t="s">
        <v>7</v>
      </c>
      <c r="D2" s="3" t="s">
        <v>8</v>
      </c>
      <c r="E2" s="3">
        <v>196.2</v>
      </c>
      <c r="F2" s="3">
        <v>1.86</v>
      </c>
      <c r="G2" s="3">
        <v>1.84</v>
      </c>
      <c r="H2" s="4">
        <f t="shared" ref="H2:H65" si="0">1000/E2</f>
        <v>5.0968399592252807</v>
      </c>
      <c r="I2" s="4">
        <f t="shared" ref="I2:I65" si="1">36-H2</f>
        <v>30.903160040774718</v>
      </c>
      <c r="J2" s="5">
        <v>32.732879638671875</v>
      </c>
      <c r="K2" s="5" t="s">
        <v>9</v>
      </c>
      <c r="L2" s="5">
        <v>33.770271301269531</v>
      </c>
    </row>
    <row r="3" spans="1:12" x14ac:dyDescent="0.2">
      <c r="A3" s="3" t="s">
        <v>10</v>
      </c>
      <c r="B3" s="3" t="s">
        <v>5</v>
      </c>
      <c r="C3" s="3" t="s">
        <v>11</v>
      </c>
      <c r="D3" s="3" t="s">
        <v>8</v>
      </c>
      <c r="E3" s="3">
        <v>225.8</v>
      </c>
      <c r="F3" s="3">
        <v>1.89</v>
      </c>
      <c r="G3" s="3">
        <v>2.0499999999999998</v>
      </c>
      <c r="H3" s="4">
        <f t="shared" si="0"/>
        <v>4.4286979627989371</v>
      </c>
      <c r="I3" s="4">
        <f t="shared" si="1"/>
        <v>31.571302037201065</v>
      </c>
      <c r="J3" s="4">
        <v>32.308834075927734</v>
      </c>
      <c r="K3" s="4">
        <v>33.137149810791016</v>
      </c>
      <c r="L3" s="4">
        <v>32.887226104736328</v>
      </c>
    </row>
    <row r="4" spans="1:12" x14ac:dyDescent="0.2">
      <c r="A4" s="3" t="s">
        <v>6</v>
      </c>
      <c r="B4" s="3" t="s">
        <v>12</v>
      </c>
      <c r="C4" s="3" t="s">
        <v>13</v>
      </c>
      <c r="D4" s="3" t="s">
        <v>8</v>
      </c>
      <c r="E4" s="3">
        <v>98.93</v>
      </c>
      <c r="F4" s="3">
        <v>1.87</v>
      </c>
      <c r="G4" s="3">
        <v>1.82</v>
      </c>
      <c r="H4" s="4">
        <f t="shared" si="0"/>
        <v>10.108157282927321</v>
      </c>
      <c r="I4" s="4">
        <f t="shared" si="1"/>
        <v>25.891842717072677</v>
      </c>
      <c r="J4" s="4">
        <v>33.964912414550781</v>
      </c>
      <c r="K4" s="4">
        <v>33.604286193847656</v>
      </c>
      <c r="L4" s="4">
        <v>35.784950256347656</v>
      </c>
    </row>
    <row r="5" spans="1:12" x14ac:dyDescent="0.2">
      <c r="A5" s="3" t="s">
        <v>10</v>
      </c>
      <c r="B5" s="3" t="s">
        <v>14</v>
      </c>
      <c r="C5" s="3" t="s">
        <v>15</v>
      </c>
      <c r="D5" s="3" t="s">
        <v>8</v>
      </c>
      <c r="E5" s="3">
        <v>129.80000000000001</v>
      </c>
      <c r="F5" s="3">
        <v>1.82</v>
      </c>
      <c r="G5" s="3">
        <v>1.73</v>
      </c>
      <c r="H5" s="4">
        <f t="shared" si="0"/>
        <v>7.7041602465331271</v>
      </c>
      <c r="I5" s="4">
        <f t="shared" si="1"/>
        <v>28.295839753466872</v>
      </c>
      <c r="J5" s="5">
        <v>32.300064086914062</v>
      </c>
      <c r="K5" s="5" t="s">
        <v>9</v>
      </c>
      <c r="L5" s="5">
        <v>35.00775146484375</v>
      </c>
    </row>
    <row r="6" spans="1:12" x14ac:dyDescent="0.2">
      <c r="A6" s="3" t="s">
        <v>10</v>
      </c>
      <c r="B6" s="3" t="s">
        <v>16</v>
      </c>
      <c r="C6" s="3" t="s">
        <v>17</v>
      </c>
      <c r="D6" s="3" t="s">
        <v>8</v>
      </c>
      <c r="E6" s="3">
        <v>196.5</v>
      </c>
      <c r="F6" s="3">
        <v>1.82</v>
      </c>
      <c r="G6" s="3">
        <v>1.81</v>
      </c>
      <c r="H6" s="4">
        <f t="shared" si="0"/>
        <v>5.0890585241730282</v>
      </c>
      <c r="I6" s="4">
        <f t="shared" si="1"/>
        <v>30.910941475826974</v>
      </c>
      <c r="J6" s="4" t="s">
        <v>9</v>
      </c>
      <c r="K6" s="4" t="s">
        <v>9</v>
      </c>
      <c r="L6" s="4" t="s">
        <v>9</v>
      </c>
    </row>
    <row r="7" spans="1:12" x14ac:dyDescent="0.2">
      <c r="A7" s="3" t="s">
        <v>19</v>
      </c>
      <c r="B7" s="3" t="s">
        <v>18</v>
      </c>
      <c r="C7" s="3" t="s">
        <v>20</v>
      </c>
      <c r="D7" s="3" t="s">
        <v>8</v>
      </c>
      <c r="E7" s="3">
        <v>120</v>
      </c>
      <c r="F7" s="3">
        <v>1.85</v>
      </c>
      <c r="G7" s="3">
        <v>2.0499999999999998</v>
      </c>
      <c r="H7" s="4">
        <f t="shared" si="0"/>
        <v>8.3333333333333339</v>
      </c>
      <c r="I7" s="4">
        <f t="shared" si="1"/>
        <v>27.666666666666664</v>
      </c>
      <c r="J7" s="4" t="s">
        <v>9</v>
      </c>
      <c r="K7" s="4" t="s">
        <v>9</v>
      </c>
      <c r="L7" s="4" t="s">
        <v>9</v>
      </c>
    </row>
    <row r="8" spans="1:12" x14ac:dyDescent="0.2">
      <c r="A8" s="3" t="s">
        <v>6</v>
      </c>
      <c r="B8" s="3" t="s">
        <v>16</v>
      </c>
      <c r="C8" s="3" t="s">
        <v>21</v>
      </c>
      <c r="D8" s="3" t="s">
        <v>8</v>
      </c>
      <c r="E8" s="3">
        <v>203.9</v>
      </c>
      <c r="F8" s="3">
        <v>1.84</v>
      </c>
      <c r="G8" s="3">
        <v>2.0299999999999998</v>
      </c>
      <c r="H8" s="4">
        <f t="shared" si="0"/>
        <v>4.9043648847474248</v>
      </c>
      <c r="I8" s="4">
        <f t="shared" si="1"/>
        <v>31.095635115252577</v>
      </c>
      <c r="J8" s="5" t="s">
        <v>9</v>
      </c>
      <c r="K8" s="5" t="s">
        <v>9</v>
      </c>
      <c r="L8" s="5">
        <v>36.773193359375</v>
      </c>
    </row>
    <row r="9" spans="1:12" x14ac:dyDescent="0.2">
      <c r="A9" s="3" t="s">
        <v>10</v>
      </c>
      <c r="B9" s="3" t="s">
        <v>18</v>
      </c>
      <c r="C9" s="3" t="s">
        <v>22</v>
      </c>
      <c r="D9" s="3" t="s">
        <v>8</v>
      </c>
      <c r="E9" s="3">
        <v>135</v>
      </c>
      <c r="F9" s="3">
        <v>1.85</v>
      </c>
      <c r="G9" s="3">
        <v>1.89</v>
      </c>
      <c r="H9" s="4">
        <f t="shared" si="0"/>
        <v>7.4074074074074074</v>
      </c>
      <c r="I9" s="4">
        <f t="shared" si="1"/>
        <v>28.592592592592592</v>
      </c>
      <c r="J9" s="4" t="s">
        <v>9</v>
      </c>
      <c r="K9" s="4" t="s">
        <v>9</v>
      </c>
      <c r="L9" s="4" t="s">
        <v>9</v>
      </c>
    </row>
    <row r="10" spans="1:12" x14ac:dyDescent="0.2">
      <c r="A10" s="3" t="s">
        <v>19</v>
      </c>
      <c r="B10" s="3" t="s">
        <v>14</v>
      </c>
      <c r="C10" s="3" t="s">
        <v>23</v>
      </c>
      <c r="D10" s="3" t="s">
        <v>8</v>
      </c>
      <c r="E10" s="3">
        <v>156.30000000000001</v>
      </c>
      <c r="F10" s="3">
        <v>1.87</v>
      </c>
      <c r="G10" s="3">
        <v>1.91</v>
      </c>
      <c r="H10" s="4">
        <f t="shared" si="0"/>
        <v>6.3979526551503518</v>
      </c>
      <c r="I10" s="4">
        <f t="shared" si="1"/>
        <v>29.602047344849648</v>
      </c>
      <c r="J10" s="4">
        <v>33.767520904541016</v>
      </c>
      <c r="K10" s="4">
        <v>33.227481842041016</v>
      </c>
      <c r="L10" s="4">
        <v>32.626880645751953</v>
      </c>
    </row>
    <row r="11" spans="1:12" x14ac:dyDescent="0.2">
      <c r="A11" s="3" t="s">
        <v>6</v>
      </c>
      <c r="B11" s="3" t="s">
        <v>24</v>
      </c>
      <c r="C11" s="3" t="s">
        <v>25</v>
      </c>
      <c r="D11" s="3" t="s">
        <v>8</v>
      </c>
      <c r="E11" s="3">
        <v>149.19999999999999</v>
      </c>
      <c r="F11" s="3">
        <v>1.91</v>
      </c>
      <c r="G11" s="3">
        <v>1.93</v>
      </c>
      <c r="H11" s="4">
        <f t="shared" si="0"/>
        <v>6.7024128686327087</v>
      </c>
      <c r="I11" s="4">
        <f t="shared" si="1"/>
        <v>29.29758713136729</v>
      </c>
      <c r="J11" s="4">
        <v>35.509292602539062</v>
      </c>
      <c r="K11" s="4">
        <v>32.763877868652344</v>
      </c>
      <c r="L11" s="4">
        <v>33.889446258544922</v>
      </c>
    </row>
    <row r="12" spans="1:12" x14ac:dyDescent="0.2">
      <c r="A12" s="3" t="s">
        <v>10</v>
      </c>
      <c r="B12" s="3" t="s">
        <v>24</v>
      </c>
      <c r="C12" s="3" t="s">
        <v>26</v>
      </c>
      <c r="D12" s="3" t="s">
        <v>8</v>
      </c>
      <c r="E12" s="3">
        <v>207</v>
      </c>
      <c r="F12" s="3">
        <v>1.88</v>
      </c>
      <c r="G12" s="3">
        <v>2.12</v>
      </c>
      <c r="H12" s="4">
        <f t="shared" si="0"/>
        <v>4.8309178743961354</v>
      </c>
      <c r="I12" s="4">
        <f t="shared" si="1"/>
        <v>31.169082125603865</v>
      </c>
      <c r="J12" s="4">
        <v>30.882598876953125</v>
      </c>
      <c r="K12" s="4">
        <v>32.67108154296875</v>
      </c>
      <c r="L12" s="4">
        <v>33.581161499023438</v>
      </c>
    </row>
    <row r="13" spans="1:12" x14ac:dyDescent="0.2">
      <c r="A13" s="3" t="s">
        <v>19</v>
      </c>
      <c r="B13" s="3" t="s">
        <v>24</v>
      </c>
      <c r="C13" s="3" t="s">
        <v>27</v>
      </c>
      <c r="D13" s="3" t="s">
        <v>8</v>
      </c>
      <c r="E13" s="3">
        <v>48.85</v>
      </c>
      <c r="F13" s="3">
        <v>1.94</v>
      </c>
      <c r="G13" s="3">
        <v>1.91</v>
      </c>
      <c r="H13" s="4">
        <f t="shared" si="0"/>
        <v>20.470829068577277</v>
      </c>
      <c r="I13" s="4">
        <f t="shared" si="1"/>
        <v>15.529170931422723</v>
      </c>
      <c r="J13" s="4">
        <v>33.352001190185547</v>
      </c>
      <c r="K13" s="4">
        <v>35.784538269042969</v>
      </c>
      <c r="L13" s="4">
        <v>35.215595245361328</v>
      </c>
    </row>
    <row r="14" spans="1:12" x14ac:dyDescent="0.2">
      <c r="A14" s="3" t="s">
        <v>10</v>
      </c>
      <c r="B14" s="3" t="s">
        <v>28</v>
      </c>
      <c r="C14" s="3" t="s">
        <v>29</v>
      </c>
      <c r="D14" s="3" t="s">
        <v>8</v>
      </c>
      <c r="E14" s="3">
        <v>181.5</v>
      </c>
      <c r="F14" s="3">
        <v>1.87</v>
      </c>
      <c r="G14" s="3">
        <v>1.94</v>
      </c>
      <c r="H14" s="4">
        <f t="shared" si="0"/>
        <v>5.5096418732782366</v>
      </c>
      <c r="I14" s="4">
        <f t="shared" si="1"/>
        <v>30.490358126721762</v>
      </c>
      <c r="J14" s="4">
        <v>32.889743804931641</v>
      </c>
      <c r="K14" s="4">
        <v>33.273532867431641</v>
      </c>
      <c r="L14" s="4">
        <v>33.004299163818359</v>
      </c>
    </row>
    <row r="15" spans="1:12" x14ac:dyDescent="0.2">
      <c r="A15" s="3" t="s">
        <v>10</v>
      </c>
      <c r="B15" s="3" t="s">
        <v>30</v>
      </c>
      <c r="C15" s="3" t="s">
        <v>31</v>
      </c>
      <c r="D15" s="3" t="s">
        <v>8</v>
      </c>
      <c r="E15" s="3">
        <v>296.2</v>
      </c>
      <c r="F15" s="3">
        <v>1.9</v>
      </c>
      <c r="G15" s="3">
        <v>2.06</v>
      </c>
      <c r="H15" s="4">
        <f t="shared" si="0"/>
        <v>3.3760972316002702</v>
      </c>
      <c r="I15" s="4">
        <f t="shared" si="1"/>
        <v>32.623902768399731</v>
      </c>
      <c r="J15" s="4" t="s">
        <v>9</v>
      </c>
      <c r="K15" s="4" t="s">
        <v>9</v>
      </c>
      <c r="L15" s="4" t="s">
        <v>9</v>
      </c>
    </row>
    <row r="16" spans="1:12" x14ac:dyDescent="0.2">
      <c r="A16" s="3" t="s">
        <v>19</v>
      </c>
      <c r="B16" s="3" t="s">
        <v>32</v>
      </c>
      <c r="C16" s="3" t="s">
        <v>33</v>
      </c>
      <c r="D16" s="3" t="s">
        <v>8</v>
      </c>
      <c r="E16" s="3">
        <v>218.8</v>
      </c>
      <c r="F16" s="3">
        <v>1.9</v>
      </c>
      <c r="G16" s="3">
        <v>2.0099999999999998</v>
      </c>
      <c r="H16" s="4">
        <f t="shared" si="0"/>
        <v>4.5703839122486283</v>
      </c>
      <c r="I16" s="4">
        <f t="shared" si="1"/>
        <v>31.42961608775137</v>
      </c>
      <c r="J16" s="4">
        <v>33.736881256103516</v>
      </c>
      <c r="K16" s="4">
        <v>34.203704833984375</v>
      </c>
      <c r="L16" s="4">
        <v>34.843673706054688</v>
      </c>
    </row>
    <row r="17" spans="1:12" x14ac:dyDescent="0.2">
      <c r="A17" s="3" t="s">
        <v>10</v>
      </c>
      <c r="B17" s="3" t="s">
        <v>32</v>
      </c>
      <c r="C17" s="3" t="s">
        <v>34</v>
      </c>
      <c r="D17" s="3" t="s">
        <v>8</v>
      </c>
      <c r="E17" s="3">
        <v>211.9</v>
      </c>
      <c r="F17" s="3">
        <v>1.9</v>
      </c>
      <c r="G17" s="3">
        <v>1.91</v>
      </c>
      <c r="H17" s="4">
        <f t="shared" si="0"/>
        <v>4.7192071731949028</v>
      </c>
      <c r="I17" s="4">
        <f t="shared" si="1"/>
        <v>31.280792826805097</v>
      </c>
      <c r="J17" s="5">
        <v>34.457611083984375</v>
      </c>
      <c r="K17" s="5">
        <v>35.824928283691406</v>
      </c>
      <c r="L17" s="5" t="s">
        <v>9</v>
      </c>
    </row>
    <row r="18" spans="1:12" x14ac:dyDescent="0.2">
      <c r="A18" s="3" t="s">
        <v>6</v>
      </c>
      <c r="B18" s="3" t="s">
        <v>35</v>
      </c>
      <c r="C18" s="3" t="s">
        <v>36</v>
      </c>
      <c r="D18" s="3" t="s">
        <v>8</v>
      </c>
      <c r="E18" s="3">
        <v>192</v>
      </c>
      <c r="F18" s="3">
        <v>1.89</v>
      </c>
      <c r="G18" s="3">
        <v>1.89</v>
      </c>
      <c r="H18" s="4">
        <f t="shared" si="0"/>
        <v>5.208333333333333</v>
      </c>
      <c r="I18" s="4">
        <f t="shared" si="1"/>
        <v>30.791666666666668</v>
      </c>
      <c r="J18" s="4" t="s">
        <v>9</v>
      </c>
      <c r="K18" s="4" t="s">
        <v>9</v>
      </c>
      <c r="L18" s="4" t="s">
        <v>9</v>
      </c>
    </row>
    <row r="19" spans="1:12" x14ac:dyDescent="0.2">
      <c r="A19" s="3" t="s">
        <v>6</v>
      </c>
      <c r="B19" s="3" t="s">
        <v>30</v>
      </c>
      <c r="C19" s="3" t="s">
        <v>37</v>
      </c>
      <c r="D19" s="3" t="s">
        <v>8</v>
      </c>
      <c r="E19" s="3">
        <v>92.54</v>
      </c>
      <c r="F19" s="3">
        <v>2.06</v>
      </c>
      <c r="G19" s="3">
        <v>1.88</v>
      </c>
      <c r="H19" s="4">
        <f t="shared" si="0"/>
        <v>10.806137886319428</v>
      </c>
      <c r="I19" s="4">
        <f t="shared" si="1"/>
        <v>25.193862113680574</v>
      </c>
      <c r="J19" s="4" t="s">
        <v>9</v>
      </c>
      <c r="K19" s="4" t="s">
        <v>9</v>
      </c>
      <c r="L19" s="4" t="s">
        <v>9</v>
      </c>
    </row>
    <row r="20" spans="1:12" x14ac:dyDescent="0.2">
      <c r="A20" s="3" t="s">
        <v>19</v>
      </c>
      <c r="B20" s="3" t="s">
        <v>35</v>
      </c>
      <c r="C20" s="3" t="s">
        <v>38</v>
      </c>
      <c r="D20" s="3" t="s">
        <v>8</v>
      </c>
      <c r="E20" s="3">
        <v>82.64</v>
      </c>
      <c r="F20" s="3">
        <v>1.82</v>
      </c>
      <c r="G20" s="3">
        <v>1.98</v>
      </c>
      <c r="H20" s="4">
        <f t="shared" si="0"/>
        <v>12.100677637947724</v>
      </c>
      <c r="I20" s="4">
        <f t="shared" si="1"/>
        <v>23.899322362052274</v>
      </c>
      <c r="J20" s="4" t="s">
        <v>9</v>
      </c>
      <c r="K20" s="4" t="s">
        <v>9</v>
      </c>
      <c r="L20" s="4" t="s">
        <v>9</v>
      </c>
    </row>
    <row r="21" spans="1:12" x14ac:dyDescent="0.2">
      <c r="A21" s="3" t="s">
        <v>6</v>
      </c>
      <c r="B21" s="3" t="s">
        <v>18</v>
      </c>
      <c r="C21" s="3" t="s">
        <v>39</v>
      </c>
      <c r="D21" s="3" t="s">
        <v>8</v>
      </c>
      <c r="E21" s="3">
        <v>242.8</v>
      </c>
      <c r="F21" s="3">
        <v>1.86</v>
      </c>
      <c r="G21" s="3">
        <v>1.98</v>
      </c>
      <c r="H21" s="4">
        <f t="shared" si="0"/>
        <v>4.1186161449752881</v>
      </c>
      <c r="I21" s="4">
        <f t="shared" si="1"/>
        <v>31.881383855024712</v>
      </c>
      <c r="J21" s="4" t="s">
        <v>9</v>
      </c>
      <c r="K21" s="4" t="s">
        <v>9</v>
      </c>
      <c r="L21" s="4" t="s">
        <v>9</v>
      </c>
    </row>
    <row r="22" spans="1:12" x14ac:dyDescent="0.2">
      <c r="A22" s="3" t="s">
        <v>10</v>
      </c>
      <c r="B22" s="3" t="s">
        <v>35</v>
      </c>
      <c r="C22" s="3" t="s">
        <v>40</v>
      </c>
      <c r="D22" s="3" t="s">
        <v>8</v>
      </c>
      <c r="E22" s="3">
        <v>73.2</v>
      </c>
      <c r="F22" s="3">
        <v>1.94</v>
      </c>
      <c r="G22" s="3">
        <v>2.0699999999999998</v>
      </c>
      <c r="H22" s="4">
        <f t="shared" si="0"/>
        <v>13.66120218579235</v>
      </c>
      <c r="I22" s="4">
        <f t="shared" si="1"/>
        <v>22.338797814207652</v>
      </c>
      <c r="J22" s="4" t="s">
        <v>9</v>
      </c>
      <c r="K22" s="4" t="s">
        <v>9</v>
      </c>
      <c r="L22" s="4" t="s">
        <v>9</v>
      </c>
    </row>
    <row r="23" spans="1:12" x14ac:dyDescent="0.2">
      <c r="A23" s="3" t="s">
        <v>10</v>
      </c>
      <c r="B23" s="3" t="s">
        <v>41</v>
      </c>
      <c r="C23" s="3" t="s">
        <v>42</v>
      </c>
      <c r="D23" s="3" t="s">
        <v>8</v>
      </c>
      <c r="E23" s="3">
        <v>260.8</v>
      </c>
      <c r="F23" s="3">
        <v>1.9</v>
      </c>
      <c r="G23" s="3">
        <v>1.93</v>
      </c>
      <c r="H23" s="4">
        <f t="shared" si="0"/>
        <v>3.8343558282208585</v>
      </c>
      <c r="I23" s="4">
        <f t="shared" si="1"/>
        <v>32.165644171779142</v>
      </c>
      <c r="J23" s="4">
        <v>34.230213165283203</v>
      </c>
      <c r="K23" s="4">
        <v>33.404506683349609</v>
      </c>
      <c r="L23" s="4">
        <v>33.624687194824219</v>
      </c>
    </row>
    <row r="24" spans="1:12" x14ac:dyDescent="0.2">
      <c r="A24" s="3" t="s">
        <v>19</v>
      </c>
      <c r="B24" s="3" t="s">
        <v>41</v>
      </c>
      <c r="C24" s="3" t="s">
        <v>43</v>
      </c>
      <c r="D24" s="3" t="s">
        <v>8</v>
      </c>
      <c r="E24" s="3">
        <v>97.97</v>
      </c>
      <c r="F24" s="3">
        <v>1.9</v>
      </c>
      <c r="G24" s="3">
        <v>2.0099999999999998</v>
      </c>
      <c r="H24" s="4">
        <f t="shared" si="0"/>
        <v>10.207206287639073</v>
      </c>
      <c r="I24" s="4">
        <f t="shared" si="1"/>
        <v>25.792793712360925</v>
      </c>
      <c r="J24" s="5">
        <v>32.093410491943359</v>
      </c>
      <c r="K24" s="5">
        <v>35.737186431884766</v>
      </c>
      <c r="L24" s="5" t="s">
        <v>9</v>
      </c>
    </row>
    <row r="25" spans="1:12" x14ac:dyDescent="0.2">
      <c r="A25" s="3" t="s">
        <v>6</v>
      </c>
      <c r="B25" s="3" t="s">
        <v>41</v>
      </c>
      <c r="C25" s="3" t="s">
        <v>44</v>
      </c>
      <c r="D25" s="3" t="s">
        <v>8</v>
      </c>
      <c r="E25" s="3">
        <v>273.60000000000002</v>
      </c>
      <c r="F25" s="3">
        <v>1.92</v>
      </c>
      <c r="G25" s="3">
        <v>2.12</v>
      </c>
      <c r="H25" s="4">
        <f t="shared" si="0"/>
        <v>3.6549707602339176</v>
      </c>
      <c r="I25" s="4">
        <f t="shared" si="1"/>
        <v>32.345029239766085</v>
      </c>
      <c r="J25" s="4">
        <v>32.518585205078125</v>
      </c>
      <c r="K25" s="4">
        <v>33.623416900634766</v>
      </c>
      <c r="L25" s="4">
        <v>34.251373291015625</v>
      </c>
    </row>
    <row r="26" spans="1:12" x14ac:dyDescent="0.2">
      <c r="A26" s="3" t="s">
        <v>19</v>
      </c>
      <c r="B26" s="3" t="s">
        <v>5</v>
      </c>
      <c r="C26" s="3" t="s">
        <v>45</v>
      </c>
      <c r="D26" s="3" t="s">
        <v>8</v>
      </c>
      <c r="E26" s="3">
        <v>151</v>
      </c>
      <c r="F26" s="3">
        <v>1.85</v>
      </c>
      <c r="G26" s="3">
        <v>1.78</v>
      </c>
      <c r="H26" s="4">
        <f t="shared" si="0"/>
        <v>6.6225165562913908</v>
      </c>
      <c r="I26" s="4">
        <f t="shared" si="1"/>
        <v>29.377483443708609</v>
      </c>
      <c r="J26" s="4">
        <v>33.148040771484375</v>
      </c>
      <c r="K26" s="4">
        <v>34.214508056640625</v>
      </c>
      <c r="L26" s="4">
        <v>33.746269226074219</v>
      </c>
    </row>
    <row r="27" spans="1:12" x14ac:dyDescent="0.2">
      <c r="A27" s="3" t="s">
        <v>6</v>
      </c>
      <c r="B27" s="3" t="s">
        <v>46</v>
      </c>
      <c r="C27" s="3" t="s">
        <v>47</v>
      </c>
      <c r="D27" s="3" t="s">
        <v>8</v>
      </c>
      <c r="E27" s="3">
        <v>191.9</v>
      </c>
      <c r="F27" s="3">
        <v>1.93</v>
      </c>
      <c r="G27" s="3">
        <v>2.21</v>
      </c>
      <c r="H27" s="4">
        <f t="shared" si="0"/>
        <v>5.2110474205315267</v>
      </c>
      <c r="I27" s="4">
        <f t="shared" si="1"/>
        <v>30.788952579468472</v>
      </c>
      <c r="J27" s="4" t="s">
        <v>9</v>
      </c>
      <c r="K27" s="4" t="s">
        <v>9</v>
      </c>
      <c r="L27" s="4" t="s">
        <v>9</v>
      </c>
    </row>
    <row r="28" spans="1:12" x14ac:dyDescent="0.2">
      <c r="A28" s="3" t="s">
        <v>6</v>
      </c>
      <c r="B28" s="3" t="s">
        <v>48</v>
      </c>
      <c r="C28" s="3" t="s">
        <v>49</v>
      </c>
      <c r="D28" s="3" t="s">
        <v>8</v>
      </c>
      <c r="E28" s="3">
        <v>170</v>
      </c>
      <c r="F28" s="3">
        <v>1.83</v>
      </c>
      <c r="G28" s="3">
        <v>1.77</v>
      </c>
      <c r="H28" s="4">
        <f t="shared" si="0"/>
        <v>5.882352941176471</v>
      </c>
      <c r="I28" s="4">
        <f t="shared" si="1"/>
        <v>30.117647058823529</v>
      </c>
      <c r="J28" s="4">
        <v>31.378437042236328</v>
      </c>
      <c r="K28" s="4">
        <v>34.242061614990234</v>
      </c>
      <c r="L28" s="4">
        <v>32.865211486816406</v>
      </c>
    </row>
    <row r="29" spans="1:12" x14ac:dyDescent="0.2">
      <c r="A29" s="3" t="s">
        <v>19</v>
      </c>
      <c r="B29" s="3" t="s">
        <v>16</v>
      </c>
      <c r="C29" s="3" t="s">
        <v>50</v>
      </c>
      <c r="D29" s="3" t="s">
        <v>8</v>
      </c>
      <c r="E29" s="3">
        <v>171.5</v>
      </c>
      <c r="F29" s="3">
        <v>1.88</v>
      </c>
      <c r="G29" s="3">
        <v>1.92</v>
      </c>
      <c r="H29" s="4">
        <f t="shared" si="0"/>
        <v>5.8309037900874632</v>
      </c>
      <c r="I29" s="4">
        <f t="shared" si="1"/>
        <v>30.169096209912539</v>
      </c>
      <c r="J29" s="5" t="s">
        <v>9</v>
      </c>
      <c r="K29" s="5" t="s">
        <v>9</v>
      </c>
      <c r="L29" s="5">
        <v>35.680606842041016</v>
      </c>
    </row>
    <row r="30" spans="1:12" x14ac:dyDescent="0.2">
      <c r="A30" s="3" t="s">
        <v>6</v>
      </c>
      <c r="B30" s="3" t="s">
        <v>51</v>
      </c>
      <c r="C30" s="3" t="s">
        <v>52</v>
      </c>
      <c r="D30" s="3" t="s">
        <v>8</v>
      </c>
      <c r="E30" s="3">
        <v>161.6</v>
      </c>
      <c r="F30" s="3">
        <v>1.85</v>
      </c>
      <c r="G30" s="3">
        <v>1.8</v>
      </c>
      <c r="H30" s="4">
        <f t="shared" si="0"/>
        <v>6.1881188118811883</v>
      </c>
      <c r="I30" s="4">
        <f t="shared" si="1"/>
        <v>29.811881188118811</v>
      </c>
      <c r="J30" s="4" t="s">
        <v>9</v>
      </c>
      <c r="K30" s="4" t="s">
        <v>9</v>
      </c>
      <c r="L30" s="4" t="s">
        <v>9</v>
      </c>
    </row>
    <row r="31" spans="1:12" x14ac:dyDescent="0.2">
      <c r="A31" s="3" t="s">
        <v>10</v>
      </c>
      <c r="B31" s="3" t="s">
        <v>51</v>
      </c>
      <c r="C31" s="3" t="s">
        <v>53</v>
      </c>
      <c r="D31" s="3" t="s">
        <v>8</v>
      </c>
      <c r="E31" s="3">
        <v>109.5</v>
      </c>
      <c r="F31" s="3">
        <v>1.84</v>
      </c>
      <c r="G31" s="3">
        <v>1.79</v>
      </c>
      <c r="H31" s="4">
        <f t="shared" si="0"/>
        <v>9.1324200913242013</v>
      </c>
      <c r="I31" s="4">
        <f t="shared" si="1"/>
        <v>26.8675799086758</v>
      </c>
      <c r="J31" s="4" t="s">
        <v>9</v>
      </c>
      <c r="K31" s="4" t="s">
        <v>9</v>
      </c>
      <c r="L31" s="4" t="s">
        <v>9</v>
      </c>
    </row>
    <row r="32" spans="1:12" x14ac:dyDescent="0.2">
      <c r="A32" s="3" t="s">
        <v>19</v>
      </c>
      <c r="B32" s="3" t="s">
        <v>51</v>
      </c>
      <c r="C32" s="3" t="s">
        <v>54</v>
      </c>
      <c r="D32" s="3" t="s">
        <v>8</v>
      </c>
      <c r="E32" s="3">
        <v>169.2</v>
      </c>
      <c r="F32" s="3">
        <v>1.87</v>
      </c>
      <c r="G32" s="3">
        <v>1.9</v>
      </c>
      <c r="H32" s="4">
        <f t="shared" si="0"/>
        <v>5.9101654846335698</v>
      </c>
      <c r="I32" s="4">
        <f t="shared" si="1"/>
        <v>30.08983451536643</v>
      </c>
      <c r="J32" s="4" t="s">
        <v>9</v>
      </c>
      <c r="K32" s="4" t="s">
        <v>9</v>
      </c>
      <c r="L32" s="4" t="s">
        <v>9</v>
      </c>
    </row>
    <row r="33" spans="1:12" x14ac:dyDescent="0.2">
      <c r="A33" s="3" t="s">
        <v>6</v>
      </c>
      <c r="B33" s="3" t="s">
        <v>55</v>
      </c>
      <c r="C33" s="3" t="s">
        <v>56</v>
      </c>
      <c r="D33" s="3" t="s">
        <v>8</v>
      </c>
      <c r="E33" s="3">
        <v>84.82</v>
      </c>
      <c r="F33" s="3">
        <v>1.86</v>
      </c>
      <c r="G33" s="3">
        <v>1.7</v>
      </c>
      <c r="H33" s="4">
        <f t="shared" si="0"/>
        <v>11.789672247111531</v>
      </c>
      <c r="I33" s="4">
        <f t="shared" si="1"/>
        <v>24.210327752888468</v>
      </c>
      <c r="J33" s="5" t="s">
        <v>9</v>
      </c>
      <c r="K33" s="5" t="s">
        <v>9</v>
      </c>
      <c r="L33" s="5">
        <v>34.889949798583984</v>
      </c>
    </row>
    <row r="34" spans="1:12" x14ac:dyDescent="0.2">
      <c r="A34" s="3" t="s">
        <v>10</v>
      </c>
      <c r="B34" s="3" t="s">
        <v>55</v>
      </c>
      <c r="C34" s="3" t="s">
        <v>57</v>
      </c>
      <c r="D34" s="3" t="s">
        <v>8</v>
      </c>
      <c r="E34" s="3">
        <v>261.39999999999998</v>
      </c>
      <c r="F34" s="3">
        <v>1.92</v>
      </c>
      <c r="G34" s="3">
        <v>2.0699999999999998</v>
      </c>
      <c r="H34" s="4">
        <f t="shared" si="0"/>
        <v>3.825554705432288</v>
      </c>
      <c r="I34" s="4">
        <f t="shared" si="1"/>
        <v>32.174445294567711</v>
      </c>
      <c r="J34" s="4">
        <v>30.974796295166016</v>
      </c>
      <c r="K34" s="4">
        <v>33.68109130859375</v>
      </c>
      <c r="L34" s="4">
        <v>33.902210235595703</v>
      </c>
    </row>
    <row r="35" spans="1:12" x14ac:dyDescent="0.2">
      <c r="A35" s="3" t="s">
        <v>19</v>
      </c>
      <c r="B35" s="3" t="s">
        <v>55</v>
      </c>
      <c r="C35" s="3" t="s">
        <v>58</v>
      </c>
      <c r="D35" s="3" t="s">
        <v>8</v>
      </c>
      <c r="E35" s="3">
        <v>177.9</v>
      </c>
      <c r="F35" s="3">
        <v>1.92</v>
      </c>
      <c r="G35" s="3">
        <v>2.0699999999999998</v>
      </c>
      <c r="H35" s="4">
        <f t="shared" si="0"/>
        <v>5.6211354693648117</v>
      </c>
      <c r="I35" s="4">
        <f t="shared" si="1"/>
        <v>30.378864530635187</v>
      </c>
      <c r="J35" s="4">
        <v>33.705417633056641</v>
      </c>
      <c r="K35" s="4">
        <v>34.741664886474609</v>
      </c>
      <c r="L35" s="4">
        <v>35.872669219970703</v>
      </c>
    </row>
    <row r="36" spans="1:12" x14ac:dyDescent="0.2">
      <c r="A36" s="3" t="s">
        <v>19</v>
      </c>
      <c r="B36" s="3" t="s">
        <v>28</v>
      </c>
      <c r="C36" s="3" t="s">
        <v>59</v>
      </c>
      <c r="D36" s="3" t="s">
        <v>8</v>
      </c>
      <c r="E36" s="3">
        <v>169.9</v>
      </c>
      <c r="F36" s="3">
        <v>1.89</v>
      </c>
      <c r="G36" s="3">
        <v>1.93</v>
      </c>
      <c r="H36" s="4">
        <f t="shared" si="0"/>
        <v>5.8858151854031782</v>
      </c>
      <c r="I36" s="4">
        <f t="shared" si="1"/>
        <v>30.114184814596822</v>
      </c>
      <c r="J36" s="5">
        <v>35.309070587158203</v>
      </c>
      <c r="K36" s="5">
        <v>35.474002838134766</v>
      </c>
      <c r="L36" s="5" t="s">
        <v>9</v>
      </c>
    </row>
    <row r="37" spans="1:12" x14ac:dyDescent="0.2">
      <c r="A37" s="3" t="s">
        <v>10</v>
      </c>
      <c r="B37" s="3" t="s">
        <v>60</v>
      </c>
      <c r="C37" s="3" t="s">
        <v>61</v>
      </c>
      <c r="D37" s="3" t="s">
        <v>8</v>
      </c>
      <c r="E37" s="3">
        <v>137.1</v>
      </c>
      <c r="F37" s="3">
        <v>1.91</v>
      </c>
      <c r="G37" s="3">
        <v>1.82</v>
      </c>
      <c r="H37" s="4">
        <f t="shared" si="0"/>
        <v>7.2939460247994168</v>
      </c>
      <c r="I37" s="4">
        <f t="shared" si="1"/>
        <v>28.706053975200582</v>
      </c>
      <c r="J37" s="5" t="s">
        <v>9</v>
      </c>
      <c r="K37" s="5">
        <v>38.525177001953125</v>
      </c>
      <c r="L37" s="5" t="s">
        <v>9</v>
      </c>
    </row>
    <row r="38" spans="1:12" x14ac:dyDescent="0.2">
      <c r="A38" s="3" t="s">
        <v>6</v>
      </c>
      <c r="B38" s="3" t="s">
        <v>60</v>
      </c>
      <c r="C38" s="3" t="s">
        <v>62</v>
      </c>
      <c r="D38" s="3" t="s">
        <v>8</v>
      </c>
      <c r="E38" s="3">
        <v>187.8</v>
      </c>
      <c r="F38" s="3">
        <v>1.92</v>
      </c>
      <c r="G38" s="3">
        <v>1.92</v>
      </c>
      <c r="H38" s="4">
        <f t="shared" si="0"/>
        <v>5.324813631522896</v>
      </c>
      <c r="I38" s="4">
        <f t="shared" si="1"/>
        <v>30.675186368477103</v>
      </c>
      <c r="J38" s="5" t="s">
        <v>9</v>
      </c>
      <c r="K38" s="5">
        <v>35.764320373535156</v>
      </c>
      <c r="L38" s="5" t="s">
        <v>9</v>
      </c>
    </row>
    <row r="39" spans="1:12" x14ac:dyDescent="0.2">
      <c r="A39" s="3" t="s">
        <v>6</v>
      </c>
      <c r="B39" s="3" t="s">
        <v>28</v>
      </c>
      <c r="C39" s="3" t="s">
        <v>63</v>
      </c>
      <c r="D39" s="3" t="s">
        <v>8</v>
      </c>
      <c r="E39" s="3">
        <v>168.1</v>
      </c>
      <c r="F39" s="3">
        <v>1.92</v>
      </c>
      <c r="G39" s="3">
        <v>1.92</v>
      </c>
      <c r="H39" s="4">
        <f t="shared" si="0"/>
        <v>5.9488399762046402</v>
      </c>
      <c r="I39" s="4">
        <f t="shared" si="1"/>
        <v>30.051160023795362</v>
      </c>
      <c r="J39" s="5" t="s">
        <v>9</v>
      </c>
      <c r="K39" s="5" t="s">
        <v>9</v>
      </c>
      <c r="L39" s="5">
        <v>35.870883941650391</v>
      </c>
    </row>
    <row r="40" spans="1:12" x14ac:dyDescent="0.2">
      <c r="A40" s="3" t="s">
        <v>6</v>
      </c>
      <c r="B40" s="3" t="s">
        <v>32</v>
      </c>
      <c r="C40" s="3" t="s">
        <v>64</v>
      </c>
      <c r="D40" s="3" t="s">
        <v>8</v>
      </c>
      <c r="E40" s="3">
        <v>166.1</v>
      </c>
      <c r="F40" s="3">
        <v>1.91</v>
      </c>
      <c r="G40" s="3">
        <v>1.86</v>
      </c>
      <c r="H40" s="4">
        <f t="shared" si="0"/>
        <v>6.0204695966285371</v>
      </c>
      <c r="I40" s="4">
        <f t="shared" si="1"/>
        <v>29.979530403371463</v>
      </c>
      <c r="J40" s="5">
        <v>35.001377105712891</v>
      </c>
      <c r="K40" s="5" t="s">
        <v>9</v>
      </c>
      <c r="L40" s="5">
        <v>34.245895385742188</v>
      </c>
    </row>
    <row r="41" spans="1:12" x14ac:dyDescent="0.2">
      <c r="A41" s="3" t="s">
        <v>19</v>
      </c>
      <c r="B41" s="3" t="s">
        <v>30</v>
      </c>
      <c r="C41" s="3" t="s">
        <v>65</v>
      </c>
      <c r="D41" s="3" t="s">
        <v>8</v>
      </c>
      <c r="E41" s="3">
        <v>127.9</v>
      </c>
      <c r="F41" s="3">
        <v>1.94</v>
      </c>
      <c r="G41" s="3">
        <v>1.86</v>
      </c>
      <c r="H41" s="4">
        <f t="shared" si="0"/>
        <v>7.8186082877247847</v>
      </c>
      <c r="I41" s="4">
        <f t="shared" si="1"/>
        <v>28.181391712275214</v>
      </c>
      <c r="J41" s="4" t="s">
        <v>9</v>
      </c>
      <c r="K41" s="4" t="s">
        <v>9</v>
      </c>
      <c r="L41" s="4" t="s">
        <v>9</v>
      </c>
    </row>
    <row r="42" spans="1:12" x14ac:dyDescent="0.2">
      <c r="A42" s="3" t="s">
        <v>6</v>
      </c>
      <c r="B42" s="3" t="s">
        <v>66</v>
      </c>
      <c r="C42" s="3" t="s">
        <v>67</v>
      </c>
      <c r="D42" s="3" t="s">
        <v>8</v>
      </c>
      <c r="E42" s="3">
        <v>182.9</v>
      </c>
      <c r="F42" s="3">
        <v>1.91</v>
      </c>
      <c r="G42" s="3">
        <v>1.97</v>
      </c>
      <c r="H42" s="4">
        <f t="shared" si="0"/>
        <v>5.4674685620557684</v>
      </c>
      <c r="I42" s="4">
        <f t="shared" si="1"/>
        <v>30.532531437944233</v>
      </c>
      <c r="J42" s="4" t="s">
        <v>9</v>
      </c>
      <c r="K42" s="4" t="s">
        <v>9</v>
      </c>
      <c r="L42" s="4" t="s">
        <v>9</v>
      </c>
    </row>
    <row r="43" spans="1:12" x14ac:dyDescent="0.2">
      <c r="A43" s="3" t="s">
        <v>19</v>
      </c>
      <c r="B43" s="3" t="s">
        <v>66</v>
      </c>
      <c r="C43" s="3" t="s">
        <v>68</v>
      </c>
      <c r="D43" s="3" t="s">
        <v>8</v>
      </c>
      <c r="E43" s="3">
        <v>183.8</v>
      </c>
      <c r="F43" s="3">
        <v>1.89</v>
      </c>
      <c r="G43" s="3">
        <v>2.02</v>
      </c>
      <c r="H43" s="4">
        <f t="shared" si="0"/>
        <v>5.4406964091403696</v>
      </c>
      <c r="I43" s="4">
        <f t="shared" si="1"/>
        <v>30.559303590859631</v>
      </c>
      <c r="J43" s="4" t="s">
        <v>9</v>
      </c>
      <c r="K43" s="4" t="s">
        <v>9</v>
      </c>
      <c r="L43" s="4" t="s">
        <v>9</v>
      </c>
    </row>
    <row r="44" spans="1:12" x14ac:dyDescent="0.2">
      <c r="A44" s="3" t="s">
        <v>19</v>
      </c>
      <c r="B44" s="3" t="s">
        <v>69</v>
      </c>
      <c r="C44" s="3" t="s">
        <v>70</v>
      </c>
      <c r="D44" s="3" t="s">
        <v>8</v>
      </c>
      <c r="E44" s="3">
        <v>129</v>
      </c>
      <c r="F44" s="3">
        <v>1.88</v>
      </c>
      <c r="G44" s="3">
        <v>1.88</v>
      </c>
      <c r="H44" s="4">
        <f t="shared" si="0"/>
        <v>7.7519379844961236</v>
      </c>
      <c r="I44" s="4">
        <f t="shared" si="1"/>
        <v>28.248062015503876</v>
      </c>
      <c r="J44" s="4">
        <v>33.996749877929688</v>
      </c>
      <c r="K44" s="4">
        <v>34.883583068847656</v>
      </c>
      <c r="L44" s="4">
        <v>36.968097686767578</v>
      </c>
    </row>
    <row r="45" spans="1:12" x14ac:dyDescent="0.2">
      <c r="A45" s="3" t="s">
        <v>10</v>
      </c>
      <c r="B45" s="3" t="s">
        <v>69</v>
      </c>
      <c r="C45" s="3" t="s">
        <v>71</v>
      </c>
      <c r="D45" s="3" t="s">
        <v>8</v>
      </c>
      <c r="E45" s="3">
        <v>168.6</v>
      </c>
      <c r="F45" s="3">
        <v>1.97</v>
      </c>
      <c r="G45" s="3">
        <v>2.2200000000000002</v>
      </c>
      <c r="H45" s="4">
        <f t="shared" si="0"/>
        <v>5.9311981020166078</v>
      </c>
      <c r="I45" s="4">
        <f t="shared" si="1"/>
        <v>30.068801897983391</v>
      </c>
      <c r="J45" s="4">
        <v>35.464923858642578</v>
      </c>
      <c r="K45" s="4">
        <v>35.957363128662109</v>
      </c>
      <c r="L45" s="4">
        <v>34.825126647949219</v>
      </c>
    </row>
    <row r="46" spans="1:12" x14ac:dyDescent="0.2">
      <c r="A46" s="3" t="s">
        <v>6</v>
      </c>
      <c r="B46" s="3" t="s">
        <v>72</v>
      </c>
      <c r="C46" s="3" t="s">
        <v>73</v>
      </c>
      <c r="D46" s="3" t="s">
        <v>8</v>
      </c>
      <c r="E46" s="3">
        <v>62.49</v>
      </c>
      <c r="F46" s="3">
        <v>1.79</v>
      </c>
      <c r="G46" s="3">
        <v>1.54</v>
      </c>
      <c r="H46" s="4">
        <f t="shared" si="0"/>
        <v>16.002560409665545</v>
      </c>
      <c r="I46" s="4">
        <f t="shared" si="1"/>
        <v>19.997439590334455</v>
      </c>
      <c r="J46" s="5" t="s">
        <v>9</v>
      </c>
      <c r="K46" s="5">
        <v>35.779376983642578</v>
      </c>
      <c r="L46" s="5">
        <v>34.8284912109375</v>
      </c>
    </row>
    <row r="47" spans="1:12" x14ac:dyDescent="0.2">
      <c r="A47" s="3" t="s">
        <v>19</v>
      </c>
      <c r="B47" s="3" t="s">
        <v>12</v>
      </c>
      <c r="C47" s="3" t="s">
        <v>74</v>
      </c>
      <c r="D47" s="3" t="s">
        <v>8</v>
      </c>
      <c r="E47" s="3">
        <v>106.5</v>
      </c>
      <c r="F47" s="3">
        <v>1.87</v>
      </c>
      <c r="G47" s="3">
        <v>1.6</v>
      </c>
      <c r="H47" s="4">
        <f t="shared" si="0"/>
        <v>9.3896713615023479</v>
      </c>
      <c r="I47" s="4">
        <f t="shared" si="1"/>
        <v>26.610328638497652</v>
      </c>
      <c r="J47" s="4">
        <v>35.397422790527344</v>
      </c>
      <c r="K47" s="4">
        <v>35.634429931640625</v>
      </c>
      <c r="L47" s="4">
        <v>34.387351989746094</v>
      </c>
    </row>
    <row r="48" spans="1:12" x14ac:dyDescent="0.2">
      <c r="A48" s="3" t="s">
        <v>6</v>
      </c>
      <c r="B48" s="3" t="s">
        <v>75</v>
      </c>
      <c r="C48" s="3" t="s">
        <v>76</v>
      </c>
      <c r="D48" s="3" t="s">
        <v>8</v>
      </c>
      <c r="E48" s="3">
        <v>149.19999999999999</v>
      </c>
      <c r="F48" s="3">
        <v>1.86</v>
      </c>
      <c r="G48" s="3">
        <v>1.88</v>
      </c>
      <c r="H48" s="4">
        <f t="shared" si="0"/>
        <v>6.7024128686327087</v>
      </c>
      <c r="I48" s="4">
        <f t="shared" si="1"/>
        <v>29.29758713136729</v>
      </c>
      <c r="J48" s="5" t="s">
        <v>9</v>
      </c>
      <c r="K48" s="5">
        <v>33.557834625244141</v>
      </c>
      <c r="L48" s="5">
        <v>33.515773773193359</v>
      </c>
    </row>
    <row r="49" spans="1:12" x14ac:dyDescent="0.2">
      <c r="A49" s="3" t="s">
        <v>10</v>
      </c>
      <c r="B49" s="3" t="s">
        <v>12</v>
      </c>
      <c r="C49" s="3" t="s">
        <v>77</v>
      </c>
      <c r="D49" s="3" t="s">
        <v>8</v>
      </c>
      <c r="E49" s="3">
        <v>123.1</v>
      </c>
      <c r="F49" s="3">
        <v>1.93</v>
      </c>
      <c r="G49" s="3">
        <v>1.8</v>
      </c>
      <c r="H49" s="4">
        <f t="shared" si="0"/>
        <v>8.1234768480909825</v>
      </c>
      <c r="I49" s="4">
        <f t="shared" si="1"/>
        <v>27.876523151909019</v>
      </c>
      <c r="J49" s="5">
        <v>33.904510498046875</v>
      </c>
      <c r="K49" s="5">
        <v>34.174530029296875</v>
      </c>
      <c r="L49" s="5" t="s">
        <v>9</v>
      </c>
    </row>
    <row r="50" spans="1:12" x14ac:dyDescent="0.2">
      <c r="A50" s="3" t="s">
        <v>10</v>
      </c>
      <c r="B50" s="3" t="s">
        <v>75</v>
      </c>
      <c r="C50" s="3" t="s">
        <v>78</v>
      </c>
      <c r="D50" s="3" t="s">
        <v>8</v>
      </c>
      <c r="E50" s="3">
        <v>74.069999999999993</v>
      </c>
      <c r="F50" s="3">
        <v>1.89</v>
      </c>
      <c r="G50" s="3">
        <v>1.68</v>
      </c>
      <c r="H50" s="4">
        <f t="shared" si="0"/>
        <v>13.500742540839747</v>
      </c>
      <c r="I50" s="4">
        <f t="shared" si="1"/>
        <v>22.499257459160255</v>
      </c>
      <c r="J50" s="4">
        <v>34.413688659667969</v>
      </c>
      <c r="K50" s="4">
        <v>32.67340087890625</v>
      </c>
      <c r="L50" s="4">
        <v>34.466823577880859</v>
      </c>
    </row>
    <row r="51" spans="1:12" x14ac:dyDescent="0.2">
      <c r="A51" s="3" t="s">
        <v>19</v>
      </c>
      <c r="B51" s="3" t="s">
        <v>75</v>
      </c>
      <c r="C51" s="3" t="s">
        <v>79</v>
      </c>
      <c r="D51" s="3" t="s">
        <v>8</v>
      </c>
      <c r="E51" s="3">
        <v>196</v>
      </c>
      <c r="F51" s="3">
        <v>1.9</v>
      </c>
      <c r="G51" s="3">
        <v>1.94</v>
      </c>
      <c r="H51" s="4">
        <f t="shared" si="0"/>
        <v>5.1020408163265305</v>
      </c>
      <c r="I51" s="4">
        <f t="shared" si="1"/>
        <v>30.897959183673471</v>
      </c>
      <c r="J51" s="4">
        <v>34.123031616210938</v>
      </c>
      <c r="K51" s="4">
        <v>34.689865112304688</v>
      </c>
      <c r="L51" s="4">
        <v>36.137985229492188</v>
      </c>
    </row>
    <row r="52" spans="1:12" x14ac:dyDescent="0.2">
      <c r="A52" s="3" t="s">
        <v>6</v>
      </c>
      <c r="B52" s="3" t="s">
        <v>14</v>
      </c>
      <c r="C52" s="3" t="s">
        <v>80</v>
      </c>
      <c r="D52" s="3" t="s">
        <v>8</v>
      </c>
      <c r="E52" s="3">
        <v>65.94</v>
      </c>
      <c r="F52" s="3">
        <v>1.83</v>
      </c>
      <c r="G52" s="3">
        <v>1.6</v>
      </c>
      <c r="H52" s="4">
        <f t="shared" si="0"/>
        <v>15.165301789505612</v>
      </c>
      <c r="I52" s="4">
        <f t="shared" si="1"/>
        <v>20.834698210494388</v>
      </c>
      <c r="J52" s="4">
        <v>35.610919952392578</v>
      </c>
      <c r="K52" s="4">
        <v>35.458763122558594</v>
      </c>
      <c r="L52" s="4">
        <v>33.838092803955078</v>
      </c>
    </row>
    <row r="53" spans="1:12" x14ac:dyDescent="0.2">
      <c r="A53" s="3" t="s">
        <v>10</v>
      </c>
      <c r="B53" s="3" t="s">
        <v>48</v>
      </c>
      <c r="C53" s="3" t="s">
        <v>81</v>
      </c>
      <c r="D53" s="3" t="s">
        <v>8</v>
      </c>
      <c r="E53" s="3">
        <v>79.959999999999994</v>
      </c>
      <c r="F53" s="3">
        <v>1.86</v>
      </c>
      <c r="G53" s="3">
        <v>1.4</v>
      </c>
      <c r="H53" s="4">
        <f t="shared" si="0"/>
        <v>12.506253126563283</v>
      </c>
      <c r="I53" s="4">
        <f t="shared" si="1"/>
        <v>23.493746873436717</v>
      </c>
      <c r="J53" s="5" t="s">
        <v>9</v>
      </c>
      <c r="K53" s="5">
        <v>34.826656341552734</v>
      </c>
      <c r="L53" s="5">
        <v>33.222965240478516</v>
      </c>
    </row>
    <row r="54" spans="1:12" x14ac:dyDescent="0.2">
      <c r="A54" s="3" t="s">
        <v>19</v>
      </c>
      <c r="B54" s="3" t="s">
        <v>60</v>
      </c>
      <c r="C54" s="3" t="s">
        <v>82</v>
      </c>
      <c r="D54" s="3" t="s">
        <v>8</v>
      </c>
      <c r="E54" s="3">
        <v>127.2</v>
      </c>
      <c r="F54" s="3">
        <v>1.83</v>
      </c>
      <c r="G54" s="3">
        <v>1.84</v>
      </c>
      <c r="H54" s="4">
        <f t="shared" si="0"/>
        <v>7.8616352201257858</v>
      </c>
      <c r="I54" s="4">
        <f t="shared" si="1"/>
        <v>28.138364779874216</v>
      </c>
      <c r="J54" s="5">
        <v>35.603385925292969</v>
      </c>
      <c r="K54" s="5" t="s">
        <v>9</v>
      </c>
      <c r="L54" s="5" t="s">
        <v>9</v>
      </c>
    </row>
    <row r="55" spans="1:12" x14ac:dyDescent="0.2">
      <c r="A55" s="3" t="s">
        <v>19</v>
      </c>
      <c r="B55" s="3" t="s">
        <v>48</v>
      </c>
      <c r="C55" s="3" t="s">
        <v>83</v>
      </c>
      <c r="D55" s="3" t="s">
        <v>8</v>
      </c>
      <c r="E55" s="3">
        <v>109.8</v>
      </c>
      <c r="F55" s="3">
        <v>1.83</v>
      </c>
      <c r="G55" s="3">
        <v>1.6</v>
      </c>
      <c r="H55" s="4">
        <f t="shared" si="0"/>
        <v>9.1074681238615671</v>
      </c>
      <c r="I55" s="4">
        <f t="shared" si="1"/>
        <v>26.892531876138435</v>
      </c>
      <c r="J55" s="5" t="s">
        <v>9</v>
      </c>
      <c r="K55" s="5">
        <v>34.261398315429688</v>
      </c>
      <c r="L55" s="5">
        <v>33.922538757324219</v>
      </c>
    </row>
    <row r="56" spans="1:12" x14ac:dyDescent="0.2">
      <c r="A56" s="3" t="s">
        <v>6</v>
      </c>
      <c r="B56" s="3" t="s">
        <v>84</v>
      </c>
      <c r="C56" s="3" t="s">
        <v>85</v>
      </c>
      <c r="D56" s="3" t="s">
        <v>8</v>
      </c>
      <c r="E56" s="3">
        <v>88.72</v>
      </c>
      <c r="F56" s="3">
        <v>1.82</v>
      </c>
      <c r="G56" s="3">
        <v>1.68</v>
      </c>
      <c r="H56" s="4">
        <f t="shared" si="0"/>
        <v>11.27141568981064</v>
      </c>
      <c r="I56" s="4">
        <f t="shared" si="1"/>
        <v>24.728584310189362</v>
      </c>
      <c r="J56" s="4" t="s">
        <v>9</v>
      </c>
      <c r="K56" s="4" t="s">
        <v>9</v>
      </c>
      <c r="L56" s="4" t="s">
        <v>9</v>
      </c>
    </row>
    <row r="57" spans="1:12" x14ac:dyDescent="0.2">
      <c r="A57" s="3" t="s">
        <v>19</v>
      </c>
      <c r="B57" s="3" t="s">
        <v>86</v>
      </c>
      <c r="C57" s="3" t="s">
        <v>87</v>
      </c>
      <c r="D57" s="3" t="s">
        <v>8</v>
      </c>
      <c r="E57" s="3">
        <v>287.10000000000002</v>
      </c>
      <c r="F57" s="3">
        <v>1.88</v>
      </c>
      <c r="G57" s="3">
        <v>1.98</v>
      </c>
      <c r="H57" s="4">
        <f t="shared" si="0"/>
        <v>3.4831069313827934</v>
      </c>
      <c r="I57" s="4">
        <f t="shared" si="1"/>
        <v>32.516893068617208</v>
      </c>
      <c r="J57" s="5" t="s">
        <v>9</v>
      </c>
      <c r="K57" s="5">
        <v>35.853412628173828</v>
      </c>
      <c r="L57" s="5">
        <v>35.798591613769531</v>
      </c>
    </row>
    <row r="58" spans="1:12" x14ac:dyDescent="0.2">
      <c r="A58" s="3" t="s">
        <v>6</v>
      </c>
      <c r="B58" s="3" t="s">
        <v>86</v>
      </c>
      <c r="C58" s="3" t="s">
        <v>88</v>
      </c>
      <c r="D58" s="3" t="s">
        <v>8</v>
      </c>
      <c r="E58" s="3">
        <v>98.83</v>
      </c>
      <c r="F58" s="3">
        <v>1.85</v>
      </c>
      <c r="G58" s="3">
        <v>1.64</v>
      </c>
      <c r="H58" s="4">
        <f t="shared" si="0"/>
        <v>10.118385105737124</v>
      </c>
      <c r="I58" s="4">
        <f t="shared" si="1"/>
        <v>25.881614894262874</v>
      </c>
      <c r="J58" s="5" t="s">
        <v>9</v>
      </c>
      <c r="K58" s="5">
        <v>34.901561737060547</v>
      </c>
      <c r="L58" s="5">
        <v>34.880699157714844</v>
      </c>
    </row>
    <row r="59" spans="1:12" x14ac:dyDescent="0.2">
      <c r="A59" s="3" t="s">
        <v>10</v>
      </c>
      <c r="B59" s="3" t="s">
        <v>86</v>
      </c>
      <c r="C59" s="3" t="s">
        <v>89</v>
      </c>
      <c r="D59" s="3" t="s">
        <v>8</v>
      </c>
      <c r="E59" s="3">
        <v>185.4</v>
      </c>
      <c r="F59" s="3">
        <v>1.89</v>
      </c>
      <c r="G59" s="3">
        <v>1.95</v>
      </c>
      <c r="H59" s="4">
        <f t="shared" si="0"/>
        <v>5.3937432578209279</v>
      </c>
      <c r="I59" s="4">
        <f t="shared" si="1"/>
        <v>30.60625674217907</v>
      </c>
      <c r="J59" s="4">
        <v>35.50506591796875</v>
      </c>
      <c r="K59" s="4">
        <v>34.761032104492188</v>
      </c>
      <c r="L59" s="4">
        <v>35.666461944580078</v>
      </c>
    </row>
    <row r="60" spans="1:12" x14ac:dyDescent="0.2">
      <c r="A60" s="3" t="s">
        <v>19</v>
      </c>
      <c r="B60" s="3" t="s">
        <v>46</v>
      </c>
      <c r="C60" s="3" t="s">
        <v>90</v>
      </c>
      <c r="D60" s="3" t="s">
        <v>8</v>
      </c>
      <c r="E60" s="3">
        <v>62.66</v>
      </c>
      <c r="F60" s="3">
        <v>1.87</v>
      </c>
      <c r="G60" s="3">
        <v>1.59</v>
      </c>
      <c r="H60" s="4">
        <f t="shared" si="0"/>
        <v>15.959144589849984</v>
      </c>
      <c r="I60" s="4">
        <f t="shared" si="1"/>
        <v>20.040855410150016</v>
      </c>
      <c r="J60" s="5">
        <v>33.254257202148438</v>
      </c>
      <c r="K60" s="5" t="s">
        <v>9</v>
      </c>
      <c r="L60" s="5" t="s">
        <v>9</v>
      </c>
    </row>
    <row r="61" spans="1:12" x14ac:dyDescent="0.2">
      <c r="A61" s="3" t="s">
        <v>10</v>
      </c>
      <c r="B61" s="3" t="s">
        <v>46</v>
      </c>
      <c r="C61" s="3" t="s">
        <v>91</v>
      </c>
      <c r="D61" s="3" t="s">
        <v>8</v>
      </c>
      <c r="E61" s="3">
        <v>128.4</v>
      </c>
      <c r="F61" s="3">
        <v>1.91</v>
      </c>
      <c r="G61" s="3">
        <v>1.94</v>
      </c>
      <c r="H61" s="4">
        <f t="shared" si="0"/>
        <v>7.7881619937694699</v>
      </c>
      <c r="I61" s="4">
        <f t="shared" si="1"/>
        <v>28.211838006230529</v>
      </c>
      <c r="J61" s="4" t="s">
        <v>9</v>
      </c>
      <c r="K61" s="4" t="s">
        <v>9</v>
      </c>
      <c r="L61" s="4" t="s">
        <v>9</v>
      </c>
    </row>
    <row r="62" spans="1:12" x14ac:dyDescent="0.2">
      <c r="A62" s="3" t="s">
        <v>10</v>
      </c>
      <c r="B62" s="3" t="s">
        <v>92</v>
      </c>
      <c r="C62" s="3" t="s">
        <v>93</v>
      </c>
      <c r="D62" s="3" t="s">
        <v>8</v>
      </c>
      <c r="E62" s="3">
        <v>264.5</v>
      </c>
      <c r="F62" s="3">
        <v>1.85</v>
      </c>
      <c r="G62" s="3">
        <v>1.86</v>
      </c>
      <c r="H62" s="4">
        <f t="shared" si="0"/>
        <v>3.7807183364839321</v>
      </c>
      <c r="I62" s="4">
        <f t="shared" si="1"/>
        <v>32.219281663516071</v>
      </c>
      <c r="J62" s="4" t="s">
        <v>9</v>
      </c>
      <c r="K62" s="4" t="s">
        <v>9</v>
      </c>
      <c r="L62" s="4" t="s">
        <v>9</v>
      </c>
    </row>
    <row r="63" spans="1:12" x14ac:dyDescent="0.2">
      <c r="A63" s="3" t="s">
        <v>6</v>
      </c>
      <c r="B63" s="3" t="s">
        <v>92</v>
      </c>
      <c r="C63" s="3" t="s">
        <v>94</v>
      </c>
      <c r="D63" s="3" t="s">
        <v>8</v>
      </c>
      <c r="E63" s="3">
        <v>167.6</v>
      </c>
      <c r="F63" s="3">
        <v>1.89</v>
      </c>
      <c r="G63" s="3">
        <v>1.89</v>
      </c>
      <c r="H63" s="4">
        <f t="shared" si="0"/>
        <v>5.9665871121718377</v>
      </c>
      <c r="I63" s="4">
        <f t="shared" si="1"/>
        <v>30.033412887828163</v>
      </c>
      <c r="J63" s="4" t="s">
        <v>9</v>
      </c>
      <c r="K63" s="4" t="s">
        <v>9</v>
      </c>
      <c r="L63" s="4" t="s">
        <v>9</v>
      </c>
    </row>
    <row r="64" spans="1:12" x14ac:dyDescent="0.2">
      <c r="A64" s="3" t="s">
        <v>19</v>
      </c>
      <c r="B64" s="3" t="s">
        <v>92</v>
      </c>
      <c r="C64" s="3" t="s">
        <v>95</v>
      </c>
      <c r="D64" s="3" t="s">
        <v>8</v>
      </c>
      <c r="E64" s="3">
        <v>146.9</v>
      </c>
      <c r="F64" s="3">
        <v>1.84</v>
      </c>
      <c r="G64" s="3">
        <v>1.75</v>
      </c>
      <c r="H64" s="4">
        <f t="shared" si="0"/>
        <v>6.8073519400953026</v>
      </c>
      <c r="I64" s="4">
        <f t="shared" si="1"/>
        <v>29.192648059904698</v>
      </c>
      <c r="J64" s="4" t="s">
        <v>9</v>
      </c>
      <c r="K64" s="4" t="s">
        <v>9</v>
      </c>
      <c r="L64" s="4" t="s">
        <v>9</v>
      </c>
    </row>
    <row r="65" spans="1:12" x14ac:dyDescent="0.2">
      <c r="A65" s="3" t="s">
        <v>19</v>
      </c>
      <c r="B65" s="3" t="s">
        <v>72</v>
      </c>
      <c r="C65" s="3" t="s">
        <v>96</v>
      </c>
      <c r="D65" s="3" t="s">
        <v>8</v>
      </c>
      <c r="E65" s="3">
        <v>98.77</v>
      </c>
      <c r="F65" s="3">
        <v>1.84</v>
      </c>
      <c r="G65" s="3">
        <v>1.59</v>
      </c>
      <c r="H65" s="4">
        <f t="shared" si="0"/>
        <v>10.124531740407006</v>
      </c>
      <c r="I65" s="4">
        <f t="shared" si="1"/>
        <v>25.875468259592992</v>
      </c>
      <c r="J65" s="5" t="s">
        <v>9</v>
      </c>
      <c r="K65" s="5">
        <v>31.983901977539062</v>
      </c>
      <c r="L65" s="5">
        <v>31.951259613037109</v>
      </c>
    </row>
    <row r="66" spans="1:12" x14ac:dyDescent="0.2">
      <c r="A66" s="3" t="s">
        <v>10</v>
      </c>
      <c r="B66" s="3" t="s">
        <v>72</v>
      </c>
      <c r="C66" s="3" t="s">
        <v>97</v>
      </c>
      <c r="D66" s="3" t="s">
        <v>8</v>
      </c>
      <c r="E66" s="3">
        <v>108</v>
      </c>
      <c r="F66" s="3">
        <v>1.87</v>
      </c>
      <c r="G66" s="3">
        <v>1.66</v>
      </c>
      <c r="H66" s="4">
        <f t="shared" ref="H66:H121" si="2">1000/E66</f>
        <v>9.2592592592592595</v>
      </c>
      <c r="I66" s="4">
        <f t="shared" ref="I66:I121" si="3">36-H66</f>
        <v>26.74074074074074</v>
      </c>
      <c r="J66" s="4">
        <v>32.859798431396484</v>
      </c>
      <c r="K66" s="4">
        <v>33.300884246826172</v>
      </c>
      <c r="L66" s="4">
        <v>32.56890869140625</v>
      </c>
    </row>
    <row r="67" spans="1:12" x14ac:dyDescent="0.2">
      <c r="A67" s="3" t="s">
        <v>6</v>
      </c>
      <c r="B67" s="3" t="s">
        <v>69</v>
      </c>
      <c r="C67" s="3" t="s">
        <v>98</v>
      </c>
      <c r="D67" s="3" t="s">
        <v>8</v>
      </c>
      <c r="E67" s="3">
        <v>46.23</v>
      </c>
      <c r="F67" s="3">
        <v>1.88</v>
      </c>
      <c r="G67" s="3">
        <v>1.49</v>
      </c>
      <c r="H67" s="4">
        <f t="shared" si="2"/>
        <v>21.630975556997623</v>
      </c>
      <c r="I67" s="4">
        <f t="shared" si="3"/>
        <v>14.369024443002377</v>
      </c>
      <c r="J67" s="5" t="s">
        <v>9</v>
      </c>
      <c r="K67" s="5">
        <v>35.757404327392578</v>
      </c>
      <c r="L67" s="5">
        <v>35.716789245605469</v>
      </c>
    </row>
    <row r="68" spans="1:12" x14ac:dyDescent="0.2">
      <c r="A68" s="3" t="s">
        <v>6</v>
      </c>
      <c r="B68" s="3" t="s">
        <v>99</v>
      </c>
      <c r="C68" s="3" t="s">
        <v>100</v>
      </c>
      <c r="D68" s="3" t="s">
        <v>8</v>
      </c>
      <c r="E68" s="3">
        <v>127.2</v>
      </c>
      <c r="F68" s="3">
        <v>1.85</v>
      </c>
      <c r="G68" s="3">
        <v>1.72</v>
      </c>
      <c r="H68" s="4">
        <f t="shared" si="2"/>
        <v>7.8616352201257858</v>
      </c>
      <c r="I68" s="4">
        <f t="shared" si="3"/>
        <v>28.138364779874216</v>
      </c>
      <c r="J68" s="5">
        <v>33.695934295654297</v>
      </c>
      <c r="K68" s="5">
        <v>35.863670349121094</v>
      </c>
      <c r="L68" s="5" t="s">
        <v>9</v>
      </c>
    </row>
    <row r="69" spans="1:12" x14ac:dyDescent="0.2">
      <c r="A69" s="3" t="s">
        <v>10</v>
      </c>
      <c r="B69" s="3" t="s">
        <v>66</v>
      </c>
      <c r="C69" s="3" t="s">
        <v>101</v>
      </c>
      <c r="D69" s="3" t="s">
        <v>8</v>
      </c>
      <c r="E69" s="3">
        <v>94.73</v>
      </c>
      <c r="F69" s="3">
        <v>1.91</v>
      </c>
      <c r="G69" s="3">
        <v>1.77</v>
      </c>
      <c r="H69" s="4">
        <f t="shared" si="2"/>
        <v>10.556317956296843</v>
      </c>
      <c r="I69" s="4">
        <f t="shared" si="3"/>
        <v>25.443682043703156</v>
      </c>
      <c r="J69" s="4" t="s">
        <v>9</v>
      </c>
      <c r="K69" s="4" t="s">
        <v>9</v>
      </c>
      <c r="L69" s="4" t="s">
        <v>9</v>
      </c>
    </row>
    <row r="70" spans="1:12" x14ac:dyDescent="0.2">
      <c r="A70" s="3" t="s">
        <v>19</v>
      </c>
      <c r="B70" s="3" t="s">
        <v>102</v>
      </c>
      <c r="C70" s="3" t="s">
        <v>103</v>
      </c>
      <c r="D70" s="3" t="s">
        <v>8</v>
      </c>
      <c r="E70" s="3">
        <v>31.4</v>
      </c>
      <c r="F70" s="3">
        <v>1.82</v>
      </c>
      <c r="G70" s="3">
        <v>1.25</v>
      </c>
      <c r="H70" s="4">
        <f t="shared" si="2"/>
        <v>31.847133757961785</v>
      </c>
      <c r="I70" s="4">
        <f t="shared" si="3"/>
        <v>4.1528662420382148</v>
      </c>
      <c r="J70" s="4">
        <v>35.392913818359375</v>
      </c>
      <c r="K70" s="4">
        <v>36.341873168945312</v>
      </c>
      <c r="L70" s="4">
        <v>36.006374359130859</v>
      </c>
    </row>
    <row r="71" spans="1:12" x14ac:dyDescent="0.2">
      <c r="A71" s="3" t="s">
        <v>19</v>
      </c>
      <c r="B71" s="3" t="s">
        <v>84</v>
      </c>
      <c r="C71" s="3" t="s">
        <v>104</v>
      </c>
      <c r="D71" s="3" t="s">
        <v>8</v>
      </c>
      <c r="E71" s="3">
        <v>92.64</v>
      </c>
      <c r="F71" s="3">
        <v>1.82</v>
      </c>
      <c r="G71" s="3">
        <v>1.64</v>
      </c>
      <c r="H71" s="4">
        <f t="shared" si="2"/>
        <v>10.794473229706391</v>
      </c>
      <c r="I71" s="4">
        <f t="shared" si="3"/>
        <v>25.205526770293609</v>
      </c>
      <c r="J71" s="4" t="s">
        <v>9</v>
      </c>
      <c r="K71" s="4" t="s">
        <v>9</v>
      </c>
      <c r="L71" s="4" t="s">
        <v>9</v>
      </c>
    </row>
    <row r="72" spans="1:12" x14ac:dyDescent="0.2">
      <c r="A72" s="3" t="s">
        <v>19</v>
      </c>
      <c r="B72" s="3" t="s">
        <v>105</v>
      </c>
      <c r="C72" s="3" t="s">
        <v>106</v>
      </c>
      <c r="D72" s="3" t="s">
        <v>8</v>
      </c>
      <c r="E72" s="3">
        <v>104.5</v>
      </c>
      <c r="F72" s="3">
        <v>1.87</v>
      </c>
      <c r="G72" s="3">
        <v>1.62</v>
      </c>
      <c r="H72" s="4">
        <f t="shared" si="2"/>
        <v>9.5693779904306222</v>
      </c>
      <c r="I72" s="4">
        <f t="shared" si="3"/>
        <v>26.430622009569376</v>
      </c>
      <c r="J72" s="4" t="s">
        <v>9</v>
      </c>
      <c r="K72" s="4" t="s">
        <v>9</v>
      </c>
      <c r="L72" s="4" t="s">
        <v>9</v>
      </c>
    </row>
    <row r="73" spans="1:12" x14ac:dyDescent="0.2">
      <c r="A73" s="3" t="s">
        <v>10</v>
      </c>
      <c r="B73" s="3" t="s">
        <v>105</v>
      </c>
      <c r="C73" s="3" t="s">
        <v>107</v>
      </c>
      <c r="D73" s="3" t="s">
        <v>8</v>
      </c>
      <c r="E73" s="3">
        <v>186.2</v>
      </c>
      <c r="F73" s="3">
        <v>1.89</v>
      </c>
      <c r="G73" s="3">
        <v>1.97</v>
      </c>
      <c r="H73" s="4">
        <f t="shared" si="2"/>
        <v>5.3705692803437168</v>
      </c>
      <c r="I73" s="4">
        <f t="shared" si="3"/>
        <v>30.629430719656284</v>
      </c>
      <c r="J73" s="4" t="s">
        <v>9</v>
      </c>
      <c r="K73" s="4" t="s">
        <v>9</v>
      </c>
      <c r="L73" s="4" t="s">
        <v>9</v>
      </c>
    </row>
    <row r="74" spans="1:12" x14ac:dyDescent="0.2">
      <c r="A74" s="3" t="s">
        <v>6</v>
      </c>
      <c r="B74" s="3" t="s">
        <v>105</v>
      </c>
      <c r="C74" s="3" t="s">
        <v>108</v>
      </c>
      <c r="D74" s="3" t="s">
        <v>8</v>
      </c>
      <c r="E74" s="3">
        <v>142.19999999999999</v>
      </c>
      <c r="F74" s="3">
        <v>1.88</v>
      </c>
      <c r="G74" s="3">
        <v>1.73</v>
      </c>
      <c r="H74" s="4">
        <f t="shared" si="2"/>
        <v>7.0323488045007041</v>
      </c>
      <c r="I74" s="4">
        <f t="shared" si="3"/>
        <v>28.967651195499297</v>
      </c>
      <c r="J74" s="4" t="s">
        <v>9</v>
      </c>
      <c r="K74" s="4" t="s">
        <v>9</v>
      </c>
      <c r="L74" s="4" t="s">
        <v>9</v>
      </c>
    </row>
    <row r="75" spans="1:12" x14ac:dyDescent="0.2">
      <c r="A75" s="3" t="s">
        <v>6</v>
      </c>
      <c r="B75" s="3" t="s">
        <v>109</v>
      </c>
      <c r="C75" s="3" t="s">
        <v>110</v>
      </c>
      <c r="D75" s="3" t="s">
        <v>8</v>
      </c>
      <c r="E75" s="3">
        <v>143.69999999999999</v>
      </c>
      <c r="F75" s="3">
        <v>1.86</v>
      </c>
      <c r="G75" s="3">
        <v>1.74</v>
      </c>
      <c r="H75" s="4">
        <f t="shared" si="2"/>
        <v>6.9589422407794022</v>
      </c>
      <c r="I75" s="4">
        <f t="shared" si="3"/>
        <v>29.0410577592206</v>
      </c>
      <c r="J75" s="5" t="s">
        <v>9</v>
      </c>
      <c r="K75" s="5" t="s">
        <v>9</v>
      </c>
      <c r="L75" s="5">
        <v>34.691246032714844</v>
      </c>
    </row>
    <row r="76" spans="1:12" x14ac:dyDescent="0.2">
      <c r="A76" s="3" t="s">
        <v>6</v>
      </c>
      <c r="B76" s="3" t="s">
        <v>111</v>
      </c>
      <c r="C76" s="3" t="s">
        <v>112</v>
      </c>
      <c r="D76" s="3" t="s">
        <v>8</v>
      </c>
      <c r="E76" s="3">
        <v>131.6</v>
      </c>
      <c r="F76" s="3">
        <v>1.82</v>
      </c>
      <c r="G76" s="3">
        <v>1.7</v>
      </c>
      <c r="H76" s="4">
        <f t="shared" si="2"/>
        <v>7.5987841945288759</v>
      </c>
      <c r="I76" s="4">
        <f t="shared" si="3"/>
        <v>28.401215805471125</v>
      </c>
      <c r="J76" s="5">
        <v>36.935455322265625</v>
      </c>
      <c r="K76" s="5" t="s">
        <v>9</v>
      </c>
      <c r="L76" s="5" t="s">
        <v>9</v>
      </c>
    </row>
    <row r="77" spans="1:12" x14ac:dyDescent="0.2">
      <c r="A77" s="3" t="s">
        <v>19</v>
      </c>
      <c r="B77" s="3" t="s">
        <v>111</v>
      </c>
      <c r="C77" s="3" t="s">
        <v>113</v>
      </c>
      <c r="D77" s="3" t="s">
        <v>8</v>
      </c>
      <c r="E77" s="3">
        <v>183.1</v>
      </c>
      <c r="F77" s="3">
        <v>1.89</v>
      </c>
      <c r="G77" s="3">
        <v>1.74</v>
      </c>
      <c r="H77" s="4">
        <f t="shared" si="2"/>
        <v>5.4614964500273073</v>
      </c>
      <c r="I77" s="4">
        <f t="shared" si="3"/>
        <v>30.538503549972692</v>
      </c>
      <c r="J77" s="4">
        <v>33.154502868652344</v>
      </c>
      <c r="K77" s="4">
        <v>35.898632049560547</v>
      </c>
      <c r="L77" s="4">
        <v>34.577579498291016</v>
      </c>
    </row>
    <row r="78" spans="1:12" x14ac:dyDescent="0.2">
      <c r="A78" s="3" t="s">
        <v>19</v>
      </c>
      <c r="B78" s="3" t="s">
        <v>114</v>
      </c>
      <c r="C78" s="3" t="s">
        <v>115</v>
      </c>
      <c r="D78" s="3" t="s">
        <v>8</v>
      </c>
      <c r="E78" s="3">
        <v>194.6</v>
      </c>
      <c r="F78" s="3">
        <v>1.86</v>
      </c>
      <c r="G78" s="3">
        <v>1.89</v>
      </c>
      <c r="H78" s="4">
        <f t="shared" si="2"/>
        <v>5.1387461459403907</v>
      </c>
      <c r="I78" s="4">
        <f t="shared" si="3"/>
        <v>30.861253854059608</v>
      </c>
      <c r="J78" s="4">
        <v>33.812454223632812</v>
      </c>
      <c r="K78" s="4">
        <v>34.832893371582031</v>
      </c>
      <c r="L78" s="4">
        <v>34.792488098144531</v>
      </c>
    </row>
    <row r="79" spans="1:12" x14ac:dyDescent="0.2">
      <c r="A79" s="3" t="s">
        <v>10</v>
      </c>
      <c r="B79" s="3" t="s">
        <v>111</v>
      </c>
      <c r="C79" s="3" t="s">
        <v>116</v>
      </c>
      <c r="D79" s="3" t="s">
        <v>8</v>
      </c>
      <c r="E79" s="3">
        <v>200.9</v>
      </c>
      <c r="F79" s="3">
        <v>1.92</v>
      </c>
      <c r="G79" s="3">
        <v>2.02</v>
      </c>
      <c r="H79" s="4">
        <f t="shared" si="2"/>
        <v>4.9776007964161275</v>
      </c>
      <c r="I79" s="4">
        <f t="shared" si="3"/>
        <v>31.022399203583873</v>
      </c>
      <c r="J79" s="4">
        <v>34.200588226318359</v>
      </c>
      <c r="K79" s="4">
        <v>34.755619049072266</v>
      </c>
      <c r="L79" s="4">
        <v>34.775424957275391</v>
      </c>
    </row>
    <row r="80" spans="1:12" x14ac:dyDescent="0.2">
      <c r="A80" s="3" t="s">
        <v>19</v>
      </c>
      <c r="B80" s="3" t="s">
        <v>109</v>
      </c>
      <c r="C80" s="3" t="s">
        <v>117</v>
      </c>
      <c r="D80" s="3" t="s">
        <v>8</v>
      </c>
      <c r="E80" s="3">
        <v>83.67</v>
      </c>
      <c r="F80" s="3">
        <v>1.85</v>
      </c>
      <c r="G80" s="3">
        <v>1.67</v>
      </c>
      <c r="H80" s="4">
        <f t="shared" si="2"/>
        <v>11.951715071112705</v>
      </c>
      <c r="I80" s="4">
        <f t="shared" si="3"/>
        <v>24.048284928887295</v>
      </c>
      <c r="J80" s="4">
        <v>34.527790069580078</v>
      </c>
      <c r="K80" s="4">
        <v>34.526416778564453</v>
      </c>
      <c r="L80" s="4">
        <v>34.314022064208984</v>
      </c>
    </row>
    <row r="81" spans="1:12" x14ac:dyDescent="0.2">
      <c r="A81" s="3" t="s">
        <v>6</v>
      </c>
      <c r="B81" s="3" t="s">
        <v>102</v>
      </c>
      <c r="C81" s="3" t="s">
        <v>118</v>
      </c>
      <c r="D81" s="3" t="s">
        <v>8</v>
      </c>
      <c r="E81" s="3">
        <v>99.7</v>
      </c>
      <c r="F81" s="3">
        <v>1.87</v>
      </c>
      <c r="G81" s="3">
        <v>1.86</v>
      </c>
      <c r="H81" s="4">
        <f t="shared" si="2"/>
        <v>10.030090270812437</v>
      </c>
      <c r="I81" s="4">
        <f t="shared" si="3"/>
        <v>25.969909729187563</v>
      </c>
      <c r="J81" s="5" t="s">
        <v>9</v>
      </c>
      <c r="K81" s="5">
        <v>35.778244018554688</v>
      </c>
      <c r="L81" s="5" t="s">
        <v>9</v>
      </c>
    </row>
    <row r="82" spans="1:12" x14ac:dyDescent="0.2">
      <c r="A82" s="3" t="s">
        <v>10</v>
      </c>
      <c r="B82" s="3" t="s">
        <v>102</v>
      </c>
      <c r="C82" s="3" t="s">
        <v>119</v>
      </c>
      <c r="D82" s="3" t="s">
        <v>8</v>
      </c>
      <c r="E82" s="3">
        <v>138.5</v>
      </c>
      <c r="F82" s="3">
        <v>1.89</v>
      </c>
      <c r="G82" s="3">
        <v>1.89</v>
      </c>
      <c r="H82" s="4">
        <f t="shared" si="2"/>
        <v>7.2202166064981945</v>
      </c>
      <c r="I82" s="4">
        <f t="shared" si="3"/>
        <v>28.779783393501805</v>
      </c>
      <c r="J82" s="4">
        <v>32.853305816650391</v>
      </c>
      <c r="K82" s="4">
        <v>34.172069549560547</v>
      </c>
      <c r="L82" s="4">
        <v>34.476589202880859</v>
      </c>
    </row>
    <row r="83" spans="1:12" x14ac:dyDescent="0.2">
      <c r="A83" s="3" t="s">
        <v>10</v>
      </c>
      <c r="B83" s="3" t="s">
        <v>114</v>
      </c>
      <c r="C83" s="3" t="s">
        <v>120</v>
      </c>
      <c r="D83" s="3" t="s">
        <v>8</v>
      </c>
      <c r="E83" s="3">
        <v>107.7</v>
      </c>
      <c r="F83" s="3">
        <v>1.88</v>
      </c>
      <c r="G83" s="3">
        <v>1.84</v>
      </c>
      <c r="H83" s="4">
        <f t="shared" si="2"/>
        <v>9.2850510677808717</v>
      </c>
      <c r="I83" s="4">
        <f t="shared" si="3"/>
        <v>26.71494893221913</v>
      </c>
      <c r="J83" s="4">
        <v>34.50238037109375</v>
      </c>
      <c r="K83" s="4">
        <v>35.411045074462891</v>
      </c>
      <c r="L83" s="4">
        <v>33.548892974853516</v>
      </c>
    </row>
    <row r="84" spans="1:12" x14ac:dyDescent="0.2">
      <c r="A84" s="3" t="s">
        <v>10</v>
      </c>
      <c r="B84" s="3" t="s">
        <v>121</v>
      </c>
      <c r="C84" s="3" t="s">
        <v>122</v>
      </c>
      <c r="D84" s="3" t="s">
        <v>8</v>
      </c>
      <c r="E84" s="3">
        <v>108.4</v>
      </c>
      <c r="F84" s="3">
        <v>1.86</v>
      </c>
      <c r="G84" s="3">
        <v>1.95</v>
      </c>
      <c r="H84" s="4">
        <f t="shared" si="2"/>
        <v>9.2250922509225095</v>
      </c>
      <c r="I84" s="4">
        <f t="shared" si="3"/>
        <v>26.774907749077492</v>
      </c>
      <c r="J84" s="4">
        <v>33.566543579101562</v>
      </c>
      <c r="K84" s="4">
        <v>33.747627258300781</v>
      </c>
      <c r="L84" s="4">
        <v>32.714828491210938</v>
      </c>
    </row>
    <row r="85" spans="1:12" x14ac:dyDescent="0.2">
      <c r="A85" s="3" t="s">
        <v>10</v>
      </c>
      <c r="B85" s="3" t="s">
        <v>123</v>
      </c>
      <c r="C85" s="3" t="s">
        <v>124</v>
      </c>
      <c r="D85" s="3" t="s">
        <v>8</v>
      </c>
      <c r="E85" s="3">
        <v>102</v>
      </c>
      <c r="F85" s="3">
        <v>1.91</v>
      </c>
      <c r="G85" s="3">
        <v>1.93</v>
      </c>
      <c r="H85" s="4">
        <f t="shared" si="2"/>
        <v>9.8039215686274517</v>
      </c>
      <c r="I85" s="4">
        <f t="shared" si="3"/>
        <v>26.196078431372548</v>
      </c>
      <c r="J85" s="5" t="s">
        <v>9</v>
      </c>
      <c r="K85" s="5">
        <v>34.764331817626953</v>
      </c>
      <c r="L85" s="5">
        <v>34.720535278320312</v>
      </c>
    </row>
    <row r="86" spans="1:12" x14ac:dyDescent="0.2">
      <c r="A86" s="3" t="s">
        <v>6</v>
      </c>
      <c r="B86" s="3" t="s">
        <v>125</v>
      </c>
      <c r="C86" s="3" t="s">
        <v>126</v>
      </c>
      <c r="D86" s="3" t="s">
        <v>8</v>
      </c>
      <c r="E86" s="3">
        <v>226.1</v>
      </c>
      <c r="F86" s="3">
        <v>1.89</v>
      </c>
      <c r="G86" s="3">
        <v>1.85</v>
      </c>
      <c r="H86" s="4">
        <f t="shared" si="2"/>
        <v>4.4228217602830604</v>
      </c>
      <c r="I86" s="4">
        <f t="shared" si="3"/>
        <v>31.57717823971694</v>
      </c>
      <c r="J86" s="5" t="s">
        <v>9</v>
      </c>
      <c r="K86" s="5">
        <v>34.760807037353516</v>
      </c>
      <c r="L86" s="5">
        <v>34.721897125244141</v>
      </c>
    </row>
    <row r="87" spans="1:12" x14ac:dyDescent="0.2">
      <c r="A87" s="3" t="s">
        <v>19</v>
      </c>
      <c r="B87" s="3" t="s">
        <v>123</v>
      </c>
      <c r="C87" s="3" t="s">
        <v>127</v>
      </c>
      <c r="D87" s="3" t="s">
        <v>8</v>
      </c>
      <c r="E87" s="3">
        <v>272.3</v>
      </c>
      <c r="F87" s="3">
        <v>1.91</v>
      </c>
      <c r="G87" s="3">
        <v>2</v>
      </c>
      <c r="H87" s="4">
        <f t="shared" si="2"/>
        <v>3.6724201248622843</v>
      </c>
      <c r="I87" s="4">
        <f t="shared" si="3"/>
        <v>32.327579875137715</v>
      </c>
      <c r="J87" s="4">
        <v>33.727832794189453</v>
      </c>
      <c r="K87" s="4">
        <v>35.708904266357422</v>
      </c>
      <c r="L87" s="4">
        <v>34.222606658935547</v>
      </c>
    </row>
    <row r="88" spans="1:12" x14ac:dyDescent="0.2">
      <c r="A88" s="3" t="s">
        <v>19</v>
      </c>
      <c r="B88" s="3" t="s">
        <v>99</v>
      </c>
      <c r="C88" s="3" t="s">
        <v>128</v>
      </c>
      <c r="D88" s="3" t="s">
        <v>8</v>
      </c>
      <c r="E88" s="3">
        <v>213.8</v>
      </c>
      <c r="F88" s="3">
        <v>1.85</v>
      </c>
      <c r="G88" s="3">
        <v>2.04</v>
      </c>
      <c r="H88" s="4">
        <f t="shared" si="2"/>
        <v>4.677268475210477</v>
      </c>
      <c r="I88" s="4">
        <f t="shared" si="3"/>
        <v>31.322731524789525</v>
      </c>
      <c r="J88" s="4" t="s">
        <v>9</v>
      </c>
      <c r="K88" s="4" t="s">
        <v>9</v>
      </c>
      <c r="L88" s="4" t="s">
        <v>9</v>
      </c>
    </row>
    <row r="89" spans="1:12" x14ac:dyDescent="0.2">
      <c r="A89" s="3" t="s">
        <v>10</v>
      </c>
      <c r="B89" s="3" t="s">
        <v>125</v>
      </c>
      <c r="C89" s="3" t="s">
        <v>129</v>
      </c>
      <c r="D89" s="3" t="s">
        <v>8</v>
      </c>
      <c r="E89" s="3">
        <v>241.5</v>
      </c>
      <c r="F89" s="3">
        <v>1.89</v>
      </c>
      <c r="G89" s="3">
        <v>2.1</v>
      </c>
      <c r="H89" s="4">
        <f t="shared" si="2"/>
        <v>4.1407867494824018</v>
      </c>
      <c r="I89" s="4">
        <f t="shared" si="3"/>
        <v>31.859213250517598</v>
      </c>
      <c r="J89" s="4">
        <v>35.24835205078125</v>
      </c>
      <c r="K89" s="4">
        <v>34.804515838623047</v>
      </c>
      <c r="L89" s="4">
        <v>33.274604797363281</v>
      </c>
    </row>
    <row r="90" spans="1:12" x14ac:dyDescent="0.2">
      <c r="A90" s="3" t="s">
        <v>19</v>
      </c>
      <c r="B90" s="3" t="s">
        <v>125</v>
      </c>
      <c r="C90" s="3" t="s">
        <v>130</v>
      </c>
      <c r="D90" s="3" t="s">
        <v>8</v>
      </c>
      <c r="E90" s="3">
        <v>144.6</v>
      </c>
      <c r="F90" s="3">
        <v>1.91</v>
      </c>
      <c r="G90" s="3">
        <v>1.89</v>
      </c>
      <c r="H90" s="4">
        <f t="shared" si="2"/>
        <v>6.9156293222683267</v>
      </c>
      <c r="I90" s="4">
        <f t="shared" si="3"/>
        <v>29.084370677731673</v>
      </c>
      <c r="J90" s="4">
        <v>35.344467163085938</v>
      </c>
      <c r="K90" s="4">
        <v>34.17431640625</v>
      </c>
      <c r="L90" s="4">
        <v>33.939426422119141</v>
      </c>
    </row>
    <row r="91" spans="1:12" x14ac:dyDescent="0.2">
      <c r="A91" s="3" t="s">
        <v>6</v>
      </c>
      <c r="B91" s="3" t="s">
        <v>123</v>
      </c>
      <c r="C91" s="3" t="s">
        <v>131</v>
      </c>
      <c r="D91" s="3" t="s">
        <v>8</v>
      </c>
      <c r="E91" s="3">
        <v>138.80000000000001</v>
      </c>
      <c r="F91" s="3">
        <v>1.86</v>
      </c>
      <c r="G91" s="3">
        <v>1.85</v>
      </c>
      <c r="H91" s="4">
        <f t="shared" si="2"/>
        <v>7.2046109510086449</v>
      </c>
      <c r="I91" s="4">
        <f t="shared" si="3"/>
        <v>28.795389048991353</v>
      </c>
      <c r="J91" s="4">
        <v>34.134693145751953</v>
      </c>
      <c r="K91" s="4">
        <v>33.659202575683594</v>
      </c>
      <c r="L91" s="4">
        <v>34.533107757568359</v>
      </c>
    </row>
    <row r="92" spans="1:12" x14ac:dyDescent="0.2">
      <c r="A92" s="3" t="s">
        <v>6</v>
      </c>
      <c r="B92" s="3" t="s">
        <v>132</v>
      </c>
      <c r="C92" s="3" t="s">
        <v>133</v>
      </c>
      <c r="D92" s="3" t="s">
        <v>8</v>
      </c>
      <c r="E92" s="3">
        <v>71.290000000000006</v>
      </c>
      <c r="F92" s="3">
        <v>1.82</v>
      </c>
      <c r="G92" s="3">
        <v>1.72</v>
      </c>
      <c r="H92" s="4">
        <f t="shared" si="2"/>
        <v>14.027212792818066</v>
      </c>
      <c r="I92" s="4">
        <f t="shared" si="3"/>
        <v>21.972787207181934</v>
      </c>
      <c r="J92" s="5" t="s">
        <v>9</v>
      </c>
      <c r="K92" s="5">
        <v>34.246410369873047</v>
      </c>
      <c r="L92" s="5">
        <v>33.328727722167969</v>
      </c>
    </row>
    <row r="93" spans="1:12" x14ac:dyDescent="0.2">
      <c r="A93" s="3" t="s">
        <v>19</v>
      </c>
      <c r="B93" s="3" t="s">
        <v>132</v>
      </c>
      <c r="C93" s="3" t="s">
        <v>134</v>
      </c>
      <c r="D93" s="3" t="s">
        <v>8</v>
      </c>
      <c r="E93" s="3">
        <v>200.5</v>
      </c>
      <c r="F93" s="3">
        <v>1.89</v>
      </c>
      <c r="G93" s="3">
        <v>2.0699999999999998</v>
      </c>
      <c r="H93" s="4">
        <f t="shared" si="2"/>
        <v>4.9875311720698257</v>
      </c>
      <c r="I93" s="4">
        <f t="shared" si="3"/>
        <v>31.012468827930174</v>
      </c>
      <c r="J93" s="4">
        <v>35.486640930175781</v>
      </c>
      <c r="K93" s="4">
        <v>34.157489776611328</v>
      </c>
      <c r="L93" s="4">
        <v>33.399456024169922</v>
      </c>
    </row>
    <row r="94" spans="1:12" x14ac:dyDescent="0.2">
      <c r="A94" s="3" t="s">
        <v>6</v>
      </c>
      <c r="B94" s="3" t="s">
        <v>114</v>
      </c>
      <c r="C94" s="3" t="s">
        <v>135</v>
      </c>
      <c r="D94" s="3" t="s">
        <v>8</v>
      </c>
      <c r="E94" s="3">
        <v>124.4</v>
      </c>
      <c r="F94" s="3">
        <v>1.85</v>
      </c>
      <c r="G94" s="3">
        <v>1.63</v>
      </c>
      <c r="H94" s="4">
        <f t="shared" si="2"/>
        <v>8.0385852090032159</v>
      </c>
      <c r="I94" s="4">
        <f t="shared" si="3"/>
        <v>27.961414790996784</v>
      </c>
      <c r="J94" s="5" t="s">
        <v>9</v>
      </c>
      <c r="K94" s="5">
        <v>34.222759246826172</v>
      </c>
      <c r="L94" s="5">
        <v>39.382053375244141</v>
      </c>
    </row>
    <row r="95" spans="1:12" x14ac:dyDescent="0.2">
      <c r="A95" s="3" t="s">
        <v>10</v>
      </c>
      <c r="B95" s="3" t="s">
        <v>132</v>
      </c>
      <c r="C95" s="3" t="s">
        <v>136</v>
      </c>
      <c r="D95" s="3" t="s">
        <v>8</v>
      </c>
      <c r="E95" s="3">
        <v>89.91</v>
      </c>
      <c r="F95" s="3">
        <v>1.86</v>
      </c>
      <c r="G95" s="3">
        <v>1.81</v>
      </c>
      <c r="H95" s="4">
        <f t="shared" si="2"/>
        <v>11.122233344455568</v>
      </c>
      <c r="I95" s="4">
        <f t="shared" si="3"/>
        <v>24.877766655544434</v>
      </c>
      <c r="J95" s="4">
        <v>35.418292999267578</v>
      </c>
      <c r="K95" s="4">
        <v>36.728450775146484</v>
      </c>
      <c r="L95" s="4">
        <v>35.559024810791016</v>
      </c>
    </row>
    <row r="96" spans="1:12" x14ac:dyDescent="0.2">
      <c r="A96" s="3" t="s">
        <v>10</v>
      </c>
      <c r="B96" s="3" t="s">
        <v>84</v>
      </c>
      <c r="C96" s="3" t="s">
        <v>137</v>
      </c>
      <c r="D96" s="3" t="s">
        <v>8</v>
      </c>
      <c r="E96" s="3">
        <v>141.80000000000001</v>
      </c>
      <c r="F96" s="3">
        <v>1.86</v>
      </c>
      <c r="G96" s="3">
        <v>1.63</v>
      </c>
      <c r="H96" s="4">
        <f t="shared" si="2"/>
        <v>7.0521861777150914</v>
      </c>
      <c r="I96" s="4">
        <f t="shared" si="3"/>
        <v>28.947813822284907</v>
      </c>
      <c r="J96" s="4" t="s">
        <v>9</v>
      </c>
      <c r="K96" s="4" t="s">
        <v>9</v>
      </c>
      <c r="L96" s="4" t="s">
        <v>9</v>
      </c>
    </row>
    <row r="97" spans="1:12" x14ac:dyDescent="0.2">
      <c r="A97" s="3" t="s">
        <v>10</v>
      </c>
      <c r="B97" s="3" t="s">
        <v>109</v>
      </c>
      <c r="C97" s="3" t="s">
        <v>138</v>
      </c>
      <c r="D97" s="3" t="s">
        <v>8</v>
      </c>
      <c r="E97" s="3">
        <v>128.80000000000001</v>
      </c>
      <c r="F97" s="3">
        <v>1.89</v>
      </c>
      <c r="G97" s="3">
        <v>1.79</v>
      </c>
      <c r="H97" s="4">
        <f t="shared" si="2"/>
        <v>7.7639751552795024</v>
      </c>
      <c r="I97" s="4">
        <f t="shared" si="3"/>
        <v>28.236024844720497</v>
      </c>
      <c r="J97" s="5">
        <v>35.553173065185547</v>
      </c>
      <c r="K97" s="5" t="s">
        <v>9</v>
      </c>
      <c r="L97" s="5">
        <v>35.556827545166016</v>
      </c>
    </row>
    <row r="98" spans="1:12" x14ac:dyDescent="0.2">
      <c r="A98" s="3" t="s">
        <v>19</v>
      </c>
      <c r="B98" s="3" t="s">
        <v>139</v>
      </c>
      <c r="C98" s="3" t="s">
        <v>140</v>
      </c>
      <c r="D98" s="3" t="s">
        <v>8</v>
      </c>
      <c r="E98" s="3">
        <v>79.44</v>
      </c>
      <c r="F98" s="3">
        <v>1.82</v>
      </c>
      <c r="G98" s="3">
        <v>1.85</v>
      </c>
      <c r="H98" s="4">
        <f t="shared" si="2"/>
        <v>12.588116817724069</v>
      </c>
      <c r="I98" s="4">
        <f t="shared" si="3"/>
        <v>23.411883182275929</v>
      </c>
      <c r="J98" s="4">
        <v>33.3099365234375</v>
      </c>
      <c r="K98" s="4">
        <v>34.793067932128906</v>
      </c>
      <c r="L98" s="4">
        <v>33.975601196289062</v>
      </c>
    </row>
    <row r="99" spans="1:12" x14ac:dyDescent="0.2">
      <c r="A99" s="3" t="s">
        <v>10</v>
      </c>
      <c r="B99" s="3" t="s">
        <v>139</v>
      </c>
      <c r="C99" s="3" t="s">
        <v>141</v>
      </c>
      <c r="D99" s="3" t="s">
        <v>8</v>
      </c>
      <c r="E99" s="3">
        <v>66.36</v>
      </c>
      <c r="F99" s="3">
        <v>1.88</v>
      </c>
      <c r="G99" s="3">
        <v>1.83</v>
      </c>
      <c r="H99" s="4">
        <f t="shared" si="2"/>
        <v>15.069318866787221</v>
      </c>
      <c r="I99" s="4">
        <f t="shared" si="3"/>
        <v>20.930681133212779</v>
      </c>
      <c r="J99" s="4">
        <v>34.403377532958984</v>
      </c>
      <c r="K99" s="4">
        <v>33.003837585449219</v>
      </c>
      <c r="L99" s="4">
        <v>33.125530242919922</v>
      </c>
    </row>
    <row r="100" spans="1:12" x14ac:dyDescent="0.2">
      <c r="A100" s="3" t="s">
        <v>6</v>
      </c>
      <c r="B100" s="3" t="s">
        <v>139</v>
      </c>
      <c r="C100" s="3" t="s">
        <v>142</v>
      </c>
      <c r="D100" s="3" t="s">
        <v>8</v>
      </c>
      <c r="E100" s="3">
        <v>120.9</v>
      </c>
      <c r="F100" s="3">
        <v>1.85</v>
      </c>
      <c r="G100" s="3">
        <v>1.84</v>
      </c>
      <c r="H100" s="4">
        <f t="shared" si="2"/>
        <v>8.2712985938792389</v>
      </c>
      <c r="I100" s="4">
        <f t="shared" si="3"/>
        <v>27.728701406120763</v>
      </c>
      <c r="J100" s="4">
        <v>33.875888824462891</v>
      </c>
      <c r="K100" s="4">
        <v>33.88330078125</v>
      </c>
      <c r="L100" s="4">
        <v>32.439319610595703</v>
      </c>
    </row>
    <row r="101" spans="1:12" x14ac:dyDescent="0.2">
      <c r="A101" s="3" t="s">
        <v>19</v>
      </c>
      <c r="B101" s="3" t="s">
        <v>121</v>
      </c>
      <c r="C101" s="3" t="s">
        <v>143</v>
      </c>
      <c r="D101" s="3" t="s">
        <v>8</v>
      </c>
      <c r="E101" s="3">
        <v>59.45</v>
      </c>
      <c r="F101" s="3">
        <v>1.94</v>
      </c>
      <c r="G101" s="3">
        <v>1.82</v>
      </c>
      <c r="H101" s="4">
        <f t="shared" si="2"/>
        <v>16.820857863751051</v>
      </c>
      <c r="I101" s="4">
        <f t="shared" si="3"/>
        <v>19.179142136248949</v>
      </c>
      <c r="J101" s="4">
        <v>35.361888885498047</v>
      </c>
      <c r="K101" s="4">
        <v>34.451335906982422</v>
      </c>
      <c r="L101" s="4">
        <v>32.532627105712891</v>
      </c>
    </row>
    <row r="102" spans="1:12" x14ac:dyDescent="0.2">
      <c r="A102" s="3" t="s">
        <v>6</v>
      </c>
      <c r="B102" s="3" t="s">
        <v>144</v>
      </c>
      <c r="C102" s="3" t="s">
        <v>145</v>
      </c>
      <c r="D102" s="3" t="s">
        <v>8</v>
      </c>
      <c r="E102" s="3">
        <v>59.16</v>
      </c>
      <c r="F102" s="3">
        <v>1.84</v>
      </c>
      <c r="G102" s="3">
        <v>1.77</v>
      </c>
      <c r="H102" s="4">
        <f t="shared" si="2"/>
        <v>16.903313049357674</v>
      </c>
      <c r="I102" s="4">
        <f t="shared" si="3"/>
        <v>19.096686950642326</v>
      </c>
      <c r="J102" s="4">
        <v>35.674560546875</v>
      </c>
      <c r="K102" s="4">
        <v>35.902641296386719</v>
      </c>
      <c r="L102" s="4">
        <v>33.848251342773438</v>
      </c>
    </row>
    <row r="103" spans="1:12" x14ac:dyDescent="0.2">
      <c r="A103" s="3" t="s">
        <v>10</v>
      </c>
      <c r="B103" s="3" t="s">
        <v>146</v>
      </c>
      <c r="C103" s="3" t="s">
        <v>147</v>
      </c>
      <c r="D103" s="3" t="s">
        <v>8</v>
      </c>
      <c r="E103" s="3">
        <v>203.4</v>
      </c>
      <c r="F103" s="3">
        <v>1.86</v>
      </c>
      <c r="G103" s="3">
        <v>1.91</v>
      </c>
      <c r="H103" s="4">
        <f t="shared" si="2"/>
        <v>4.9164208456243852</v>
      </c>
      <c r="I103" s="4">
        <f t="shared" si="3"/>
        <v>31.083579154375613</v>
      </c>
      <c r="J103" s="5">
        <v>35.553485870361328</v>
      </c>
      <c r="K103" s="5" t="s">
        <v>9</v>
      </c>
      <c r="L103" s="5" t="s">
        <v>9</v>
      </c>
    </row>
    <row r="104" spans="1:12" x14ac:dyDescent="0.2">
      <c r="A104" s="3" t="s">
        <v>6</v>
      </c>
      <c r="B104" s="3" t="s">
        <v>146</v>
      </c>
      <c r="C104" s="3" t="s">
        <v>148</v>
      </c>
      <c r="D104" s="3" t="s">
        <v>8</v>
      </c>
      <c r="E104" s="3">
        <v>117.1</v>
      </c>
      <c r="F104" s="3">
        <v>1.86</v>
      </c>
      <c r="G104" s="3">
        <v>1.83</v>
      </c>
      <c r="H104" s="4">
        <f t="shared" si="2"/>
        <v>8.5397096498719041</v>
      </c>
      <c r="I104" s="4">
        <f t="shared" si="3"/>
        <v>27.460290350128098</v>
      </c>
      <c r="J104" s="5" t="s">
        <v>9</v>
      </c>
      <c r="K104" s="5">
        <v>35.750080108642578</v>
      </c>
      <c r="L104" s="5">
        <v>34.620353698730469</v>
      </c>
    </row>
    <row r="105" spans="1:12" x14ac:dyDescent="0.2">
      <c r="A105" s="3" t="s">
        <v>10</v>
      </c>
      <c r="B105" s="3" t="s">
        <v>144</v>
      </c>
      <c r="C105" s="3" t="s">
        <v>149</v>
      </c>
      <c r="D105" s="3" t="s">
        <v>8</v>
      </c>
      <c r="E105" s="3">
        <v>33.4</v>
      </c>
      <c r="F105" s="3">
        <v>2.0099999999999998</v>
      </c>
      <c r="G105" s="3">
        <v>1.8</v>
      </c>
      <c r="H105" s="4">
        <f t="shared" si="2"/>
        <v>29.940119760479043</v>
      </c>
      <c r="I105" s="4">
        <f t="shared" si="3"/>
        <v>6.0598802395209574</v>
      </c>
      <c r="J105" s="5" t="s">
        <v>9</v>
      </c>
      <c r="K105" s="5">
        <v>33.4305419921875</v>
      </c>
      <c r="L105" s="5">
        <v>34.997222900390625</v>
      </c>
    </row>
    <row r="106" spans="1:12" x14ac:dyDescent="0.2">
      <c r="A106" s="3" t="s">
        <v>19</v>
      </c>
      <c r="B106" s="3" t="s">
        <v>144</v>
      </c>
      <c r="C106" s="3" t="s">
        <v>150</v>
      </c>
      <c r="D106" s="3" t="s">
        <v>8</v>
      </c>
      <c r="E106" s="3">
        <v>112.8</v>
      </c>
      <c r="F106" s="3">
        <v>1.86</v>
      </c>
      <c r="G106" s="3">
        <v>1.68</v>
      </c>
      <c r="H106" s="4">
        <f t="shared" si="2"/>
        <v>8.8652482269503547</v>
      </c>
      <c r="I106" s="4">
        <f t="shared" si="3"/>
        <v>27.134751773049643</v>
      </c>
      <c r="J106" s="4">
        <v>35.370979309082031</v>
      </c>
      <c r="K106" s="4">
        <v>33.728511810302734</v>
      </c>
      <c r="L106" s="4">
        <v>35.603282928466797</v>
      </c>
    </row>
    <row r="107" spans="1:12" x14ac:dyDescent="0.2">
      <c r="A107" s="3" t="s">
        <v>19</v>
      </c>
      <c r="B107" s="3" t="s">
        <v>146</v>
      </c>
      <c r="C107" s="3" t="s">
        <v>151</v>
      </c>
      <c r="D107" s="3" t="s">
        <v>8</v>
      </c>
      <c r="E107" s="3">
        <v>43.23</v>
      </c>
      <c r="F107" s="3">
        <v>1.92</v>
      </c>
      <c r="G107" s="3">
        <v>1.89</v>
      </c>
      <c r="H107" s="4">
        <f t="shared" si="2"/>
        <v>23.132084200786494</v>
      </c>
      <c r="I107" s="4">
        <f t="shared" si="3"/>
        <v>12.867915799213506</v>
      </c>
      <c r="J107" s="4">
        <v>35.476127624511719</v>
      </c>
      <c r="K107" s="4">
        <v>34.733695983886719</v>
      </c>
      <c r="L107" s="4">
        <v>36.633277893066406</v>
      </c>
    </row>
    <row r="108" spans="1:12" x14ac:dyDescent="0.2">
      <c r="A108" s="3" t="s">
        <v>6</v>
      </c>
      <c r="B108" s="3" t="s">
        <v>121</v>
      </c>
      <c r="C108" s="3" t="s">
        <v>152</v>
      </c>
      <c r="D108" s="3" t="s">
        <v>8</v>
      </c>
      <c r="E108" s="3">
        <v>129.9</v>
      </c>
      <c r="F108" s="3">
        <v>1.85</v>
      </c>
      <c r="G108" s="3">
        <v>1.87</v>
      </c>
      <c r="H108" s="4">
        <f t="shared" si="2"/>
        <v>7.6982294072363349</v>
      </c>
      <c r="I108" s="4">
        <f t="shared" si="3"/>
        <v>28.301770592763667</v>
      </c>
      <c r="J108" s="4">
        <v>32.850883483886719</v>
      </c>
      <c r="K108" s="4">
        <v>33.413429260253906</v>
      </c>
      <c r="L108" s="4">
        <v>32.286323547363281</v>
      </c>
    </row>
    <row r="109" spans="1:12" x14ac:dyDescent="0.2">
      <c r="A109" s="3" t="s">
        <v>6</v>
      </c>
      <c r="B109" s="3" t="s">
        <v>153</v>
      </c>
      <c r="C109" s="3" t="s">
        <v>154</v>
      </c>
      <c r="D109" s="3" t="s">
        <v>8</v>
      </c>
      <c r="E109" s="3">
        <v>96.57</v>
      </c>
      <c r="F109" s="3">
        <v>1.89</v>
      </c>
      <c r="G109" s="3">
        <v>1.9</v>
      </c>
      <c r="H109" s="4">
        <f t="shared" si="2"/>
        <v>10.355182768975872</v>
      </c>
      <c r="I109" s="4">
        <f t="shared" si="3"/>
        <v>25.644817231024128</v>
      </c>
      <c r="J109" s="4" t="s">
        <v>9</v>
      </c>
      <c r="K109" s="4" t="s">
        <v>9</v>
      </c>
      <c r="L109" s="4" t="s">
        <v>9</v>
      </c>
    </row>
    <row r="110" spans="1:12" x14ac:dyDescent="0.2">
      <c r="A110" s="3" t="s">
        <v>10</v>
      </c>
      <c r="B110" s="3" t="s">
        <v>153</v>
      </c>
      <c r="C110" s="3" t="s">
        <v>155</v>
      </c>
      <c r="D110" s="3" t="s">
        <v>8</v>
      </c>
      <c r="E110" s="3">
        <v>92.04</v>
      </c>
      <c r="F110" s="3">
        <v>1.85</v>
      </c>
      <c r="G110" s="3">
        <v>1.78</v>
      </c>
      <c r="H110" s="4">
        <f t="shared" si="2"/>
        <v>10.864841373315949</v>
      </c>
      <c r="I110" s="4">
        <f t="shared" si="3"/>
        <v>25.135158626684053</v>
      </c>
      <c r="J110" s="4" t="s">
        <v>9</v>
      </c>
      <c r="K110" s="4" t="s">
        <v>9</v>
      </c>
      <c r="L110" s="4" t="s">
        <v>9</v>
      </c>
    </row>
    <row r="111" spans="1:12" x14ac:dyDescent="0.2">
      <c r="A111" s="3" t="s">
        <v>19</v>
      </c>
      <c r="B111" s="3" t="s">
        <v>153</v>
      </c>
      <c r="C111" s="3" t="s">
        <v>156</v>
      </c>
      <c r="D111" s="3" t="s">
        <v>8</v>
      </c>
      <c r="E111" s="3">
        <v>151</v>
      </c>
      <c r="F111" s="3">
        <v>1.9</v>
      </c>
      <c r="G111" s="3">
        <v>1.98</v>
      </c>
      <c r="H111" s="4">
        <f t="shared" si="2"/>
        <v>6.6225165562913908</v>
      </c>
      <c r="I111" s="4">
        <f t="shared" si="3"/>
        <v>29.377483443708609</v>
      </c>
      <c r="J111" s="4" t="s">
        <v>9</v>
      </c>
      <c r="K111" s="4" t="s">
        <v>9</v>
      </c>
      <c r="L111" s="4" t="s">
        <v>9</v>
      </c>
    </row>
    <row r="112" spans="1:12" x14ac:dyDescent="0.2">
      <c r="A112" s="3" t="s">
        <v>19</v>
      </c>
      <c r="B112" s="3" t="s">
        <v>157</v>
      </c>
      <c r="C112" s="3" t="s">
        <v>158</v>
      </c>
      <c r="D112" s="3" t="s">
        <v>8</v>
      </c>
      <c r="E112" s="3">
        <v>281.7</v>
      </c>
      <c r="F112" s="3">
        <v>1.9</v>
      </c>
      <c r="G112" s="3">
        <v>2.06</v>
      </c>
      <c r="H112" s="4">
        <f t="shared" si="2"/>
        <v>3.5498757543485979</v>
      </c>
      <c r="I112" s="4">
        <f t="shared" si="3"/>
        <v>32.450124245651402</v>
      </c>
      <c r="J112" s="4">
        <v>34.176666259765625</v>
      </c>
      <c r="K112" s="4">
        <v>34.319805145263672</v>
      </c>
      <c r="L112" s="4">
        <v>34.509780883789062</v>
      </c>
    </row>
    <row r="113" spans="1:12" x14ac:dyDescent="0.2">
      <c r="A113" s="3" t="s">
        <v>10</v>
      </c>
      <c r="B113" s="3" t="s">
        <v>157</v>
      </c>
      <c r="C113" s="3" t="s">
        <v>159</v>
      </c>
      <c r="D113" s="3" t="s">
        <v>8</v>
      </c>
      <c r="E113" s="3">
        <v>96.57</v>
      </c>
      <c r="F113" s="3">
        <v>1.88</v>
      </c>
      <c r="G113" s="3">
        <v>1.73</v>
      </c>
      <c r="H113" s="4">
        <f t="shared" si="2"/>
        <v>10.355182768975872</v>
      </c>
      <c r="I113" s="4">
        <f t="shared" si="3"/>
        <v>25.644817231024128</v>
      </c>
      <c r="J113" s="5" t="s">
        <v>9</v>
      </c>
      <c r="K113" s="5">
        <v>34.885204315185547</v>
      </c>
      <c r="L113" s="5" t="s">
        <v>9</v>
      </c>
    </row>
    <row r="114" spans="1:12" x14ac:dyDescent="0.2">
      <c r="A114" s="3" t="s">
        <v>6</v>
      </c>
      <c r="B114" s="3" t="s">
        <v>157</v>
      </c>
      <c r="C114" s="3" t="s">
        <v>160</v>
      </c>
      <c r="D114" s="3" t="s">
        <v>8</v>
      </c>
      <c r="E114" s="3">
        <v>144.1</v>
      </c>
      <c r="F114" s="3">
        <v>1.89</v>
      </c>
      <c r="G114" s="3">
        <v>1.91</v>
      </c>
      <c r="H114" s="4">
        <f t="shared" si="2"/>
        <v>6.9396252602359478</v>
      </c>
      <c r="I114" s="4">
        <f t="shared" si="3"/>
        <v>29.06037473976405</v>
      </c>
      <c r="J114" s="5">
        <v>35.469707489013672</v>
      </c>
      <c r="K114" s="5">
        <v>34.003921508789062</v>
      </c>
      <c r="L114" s="5" t="s">
        <v>9</v>
      </c>
    </row>
    <row r="115" spans="1:12" x14ac:dyDescent="0.2">
      <c r="A115" s="3" t="s">
        <v>19</v>
      </c>
      <c r="B115" s="3" t="s">
        <v>161</v>
      </c>
      <c r="C115" s="3" t="s">
        <v>162</v>
      </c>
      <c r="D115" s="3" t="s">
        <v>8</v>
      </c>
      <c r="E115" s="3">
        <v>132.6</v>
      </c>
      <c r="F115" s="3">
        <v>1.88</v>
      </c>
      <c r="G115" s="3">
        <v>2.14</v>
      </c>
      <c r="H115" s="4">
        <f t="shared" si="2"/>
        <v>7.5414781297134246</v>
      </c>
      <c r="I115" s="4">
        <f t="shared" si="3"/>
        <v>28.458521870286575</v>
      </c>
      <c r="J115" s="4" t="s">
        <v>9</v>
      </c>
      <c r="K115" s="4" t="s">
        <v>9</v>
      </c>
      <c r="L115" s="4" t="s">
        <v>9</v>
      </c>
    </row>
    <row r="116" spans="1:12" x14ac:dyDescent="0.2">
      <c r="A116" s="3" t="s">
        <v>10</v>
      </c>
      <c r="B116" s="3" t="s">
        <v>161</v>
      </c>
      <c r="C116" s="3" t="s">
        <v>163</v>
      </c>
      <c r="D116" s="3" t="s">
        <v>8</v>
      </c>
      <c r="E116" s="3">
        <v>112</v>
      </c>
      <c r="F116" s="3">
        <v>1.82</v>
      </c>
      <c r="G116" s="3">
        <v>1.78</v>
      </c>
      <c r="H116" s="4">
        <f t="shared" si="2"/>
        <v>8.9285714285714288</v>
      </c>
      <c r="I116" s="4">
        <f t="shared" si="3"/>
        <v>27.071428571428569</v>
      </c>
      <c r="J116" s="5">
        <v>35.386146545410156</v>
      </c>
      <c r="K116" s="5" t="s">
        <v>9</v>
      </c>
      <c r="L116" s="5">
        <v>34.589927673339844</v>
      </c>
    </row>
    <row r="117" spans="1:12" x14ac:dyDescent="0.2">
      <c r="A117" s="3" t="s">
        <v>6</v>
      </c>
      <c r="B117" s="3" t="s">
        <v>161</v>
      </c>
      <c r="C117" s="3" t="s">
        <v>164</v>
      </c>
      <c r="D117" s="3" t="s">
        <v>8</v>
      </c>
      <c r="E117" s="3">
        <v>66.81</v>
      </c>
      <c r="F117" s="3">
        <v>1.89</v>
      </c>
      <c r="G117" s="3">
        <v>1.86</v>
      </c>
      <c r="H117" s="4">
        <f t="shared" si="2"/>
        <v>14.967819188744199</v>
      </c>
      <c r="I117" s="4">
        <f t="shared" si="3"/>
        <v>21.032180811255799</v>
      </c>
      <c r="J117" s="5">
        <v>36.387577056884766</v>
      </c>
      <c r="K117" s="5" t="s">
        <v>9</v>
      </c>
      <c r="L117" s="5" t="s">
        <v>9</v>
      </c>
    </row>
    <row r="118" spans="1:12" x14ac:dyDescent="0.2">
      <c r="A118" s="3" t="s">
        <v>10</v>
      </c>
      <c r="B118" s="3" t="s">
        <v>99</v>
      </c>
      <c r="C118" s="3" t="s">
        <v>165</v>
      </c>
      <c r="D118" s="3" t="s">
        <v>8</v>
      </c>
      <c r="E118" s="3">
        <v>87.65</v>
      </c>
      <c r="F118" s="3">
        <v>1.83</v>
      </c>
      <c r="G118" s="3">
        <v>1.67</v>
      </c>
      <c r="H118" s="4">
        <f t="shared" si="2"/>
        <v>11.409013120365088</v>
      </c>
      <c r="I118" s="4">
        <f t="shared" si="3"/>
        <v>24.590986879634912</v>
      </c>
      <c r="J118" s="5" t="s">
        <v>9</v>
      </c>
      <c r="K118" s="5">
        <v>33.962104797363281</v>
      </c>
      <c r="L118" s="5">
        <v>34.657997131347656</v>
      </c>
    </row>
    <row r="119" spans="1:12" x14ac:dyDescent="0.2">
      <c r="A119" s="3" t="s">
        <v>6</v>
      </c>
      <c r="B119" s="3" t="s">
        <v>166</v>
      </c>
      <c r="C119" s="3" t="s">
        <v>167</v>
      </c>
      <c r="D119" s="3" t="s">
        <v>8</v>
      </c>
      <c r="E119" s="3">
        <v>129.5</v>
      </c>
      <c r="F119" s="3">
        <v>1.89</v>
      </c>
      <c r="G119" s="3">
        <v>1.79</v>
      </c>
      <c r="H119" s="4">
        <f t="shared" si="2"/>
        <v>7.7220077220077217</v>
      </c>
      <c r="I119" s="4">
        <f t="shared" si="3"/>
        <v>28.277992277992279</v>
      </c>
      <c r="J119" s="4">
        <v>34.522163391113281</v>
      </c>
      <c r="K119" s="4">
        <v>35.663955688476562</v>
      </c>
      <c r="L119" s="4">
        <v>34.1846923828125</v>
      </c>
    </row>
    <row r="120" spans="1:12" x14ac:dyDescent="0.2">
      <c r="A120" s="3" t="s">
        <v>10</v>
      </c>
      <c r="B120" s="3" t="s">
        <v>166</v>
      </c>
      <c r="C120" s="3" t="s">
        <v>168</v>
      </c>
      <c r="D120" s="3" t="s">
        <v>8</v>
      </c>
      <c r="E120" s="3">
        <v>60.55</v>
      </c>
      <c r="F120" s="3">
        <v>1.88</v>
      </c>
      <c r="G120" s="3">
        <v>1.65</v>
      </c>
      <c r="H120" s="4">
        <f t="shared" si="2"/>
        <v>16.515276630883569</v>
      </c>
      <c r="I120" s="4">
        <f t="shared" si="3"/>
        <v>19.484723369116431</v>
      </c>
      <c r="J120" s="5">
        <v>34.702705383300781</v>
      </c>
      <c r="K120" s="5" t="s">
        <v>9</v>
      </c>
      <c r="L120" s="5" t="s">
        <v>9</v>
      </c>
    </row>
    <row r="121" spans="1:12" x14ac:dyDescent="0.2">
      <c r="A121" s="3" t="s">
        <v>19</v>
      </c>
      <c r="B121" s="3" t="s">
        <v>166</v>
      </c>
      <c r="C121" s="3" t="s">
        <v>169</v>
      </c>
      <c r="D121" s="3" t="s">
        <v>8</v>
      </c>
      <c r="E121" s="3">
        <v>89.39</v>
      </c>
      <c r="F121" s="3">
        <v>1.92</v>
      </c>
      <c r="G121" s="3">
        <v>1.82</v>
      </c>
      <c r="H121" s="4">
        <f t="shared" si="2"/>
        <v>11.186933661483387</v>
      </c>
      <c r="I121" s="4">
        <f t="shared" si="3"/>
        <v>24.813066338516613</v>
      </c>
      <c r="J121" s="5" t="s">
        <v>9</v>
      </c>
      <c r="K121" s="5">
        <v>33.924674987792969</v>
      </c>
      <c r="L121" s="5">
        <v>34.443214416503906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Tisza, Michael J</cp:lastModifiedBy>
  <dcterms:created xsi:type="dcterms:W3CDTF">2026-07-15T20:14:53Z</dcterms:created>
  <dcterms:modified xsi:type="dcterms:W3CDTF">2026-07-15T20:19:29Z</dcterms:modified>
</cp:coreProperties>
</file>